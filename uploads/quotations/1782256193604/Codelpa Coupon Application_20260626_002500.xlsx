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84434264\Desktop\"/>
    </mc:Choice>
  </mc:AlternateContent>
  <xr:revisionPtr revIDLastSave="0" documentId="13_ncr:1_{7B2CEE25-6CC2-456A-B4F1-8F79DD831DBD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Coupon Application" sheetId="8" r:id="rId1"/>
    <sheet name="Coupon Calculation" sheetId="1" r:id="rId2"/>
    <sheet name="CODELPA Migration Plan" sheetId="5" r:id="rId3"/>
    <sheet name="Price Calculator - PPU" sheetId="4" r:id="rId4"/>
    <sheet name="Price Calculator - RI" sheetId="7" r:id="rId5"/>
  </sheets>
  <externalReferences>
    <externalReference r:id="rId6"/>
  </externalReferences>
  <definedNames>
    <definedName name="QF_SYS_SIGNER">[1]Discount!$E$13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6" i="5" l="1"/>
  <c r="D54" i="1"/>
  <c r="D53" i="1"/>
  <c r="D52" i="1"/>
  <c r="D56" i="1"/>
  <c r="D50" i="1"/>
  <c r="C51" i="7"/>
  <c r="C52" i="7"/>
  <c r="P32" i="1"/>
  <c r="P33" i="1" s="1"/>
  <c r="B44" i="7" l="1"/>
  <c r="O39" i="7"/>
  <c r="N39" i="7"/>
  <c r="L39" i="7"/>
  <c r="K39" i="7"/>
  <c r="P38" i="7"/>
  <c r="A38" i="7"/>
  <c r="P37" i="7"/>
  <c r="M37" i="7"/>
  <c r="M39" i="7" s="1"/>
  <c r="P36" i="7"/>
  <c r="A36" i="7"/>
  <c r="P35" i="7"/>
  <c r="A35" i="7"/>
  <c r="P34" i="7"/>
  <c r="A34" i="7"/>
  <c r="P33" i="7"/>
  <c r="P32" i="7"/>
  <c r="A32" i="7"/>
  <c r="P31" i="7"/>
  <c r="A31" i="7"/>
  <c r="P30" i="7"/>
  <c r="A30" i="7"/>
  <c r="P29" i="7"/>
  <c r="A29" i="7"/>
  <c r="P28" i="7"/>
  <c r="A28" i="7"/>
  <c r="P27" i="7"/>
  <c r="A27" i="7"/>
  <c r="P26" i="7"/>
  <c r="A26" i="7"/>
  <c r="P25" i="7"/>
  <c r="A25" i="7"/>
  <c r="P24" i="7"/>
  <c r="A24" i="7"/>
  <c r="P23" i="7"/>
  <c r="A23" i="7"/>
  <c r="P22" i="7"/>
  <c r="A22" i="7"/>
  <c r="P21" i="7"/>
  <c r="A21" i="7"/>
  <c r="P20" i="7"/>
  <c r="A20" i="7"/>
  <c r="P19" i="7"/>
  <c r="A19" i="7"/>
  <c r="P18" i="7"/>
  <c r="A18" i="7"/>
  <c r="P17" i="7"/>
  <c r="A17" i="7"/>
  <c r="P16" i="7"/>
  <c r="A16" i="7"/>
  <c r="P15" i="7"/>
  <c r="A15" i="7"/>
  <c r="P14" i="7"/>
  <c r="A14" i="7"/>
  <c r="P13" i="7"/>
  <c r="A13" i="7"/>
  <c r="P12" i="7"/>
  <c r="A12" i="7"/>
  <c r="P11" i="7"/>
  <c r="A11" i="7"/>
  <c r="P10" i="7"/>
  <c r="A10" i="7"/>
  <c r="P9" i="7"/>
  <c r="A9" i="7"/>
  <c r="P8" i="7"/>
  <c r="A8" i="7"/>
  <c r="P7" i="7"/>
  <c r="A7" i="7"/>
  <c r="P6" i="7"/>
  <c r="A6" i="7"/>
  <c r="P5" i="7"/>
  <c r="A5" i="7"/>
  <c r="P4" i="7"/>
  <c r="P39" i="7" s="1"/>
  <c r="A4" i="7"/>
  <c r="A2" i="7"/>
  <c r="G52" i="1"/>
  <c r="G54" i="1" s="1"/>
  <c r="D49" i="1"/>
  <c r="C48" i="4"/>
  <c r="C47" i="4"/>
  <c r="E7" i="5"/>
  <c r="C5" i="5" s="1"/>
  <c r="F7" i="5"/>
  <c r="G7" i="5"/>
  <c r="E12" i="5"/>
  <c r="F12" i="5"/>
  <c r="G12" i="5"/>
  <c r="E16" i="5"/>
  <c r="F16" i="5"/>
  <c r="G16" i="5"/>
  <c r="E22" i="5"/>
  <c r="F22" i="5"/>
  <c r="G22" i="5"/>
  <c r="F29" i="5"/>
  <c r="G29" i="5"/>
  <c r="D58" i="1" l="1"/>
  <c r="B47" i="7"/>
  <c r="B43" i="7"/>
  <c r="B45" i="7" s="1"/>
  <c r="C44" i="4"/>
  <c r="D39" i="1" s="1"/>
  <c r="D40" i="1" s="1"/>
  <c r="D42" i="1" s="1"/>
  <c r="C45" i="4"/>
  <c r="D37" i="1"/>
  <c r="N38" i="4"/>
  <c r="N39" i="4" s="1"/>
  <c r="L38" i="4"/>
  <c r="K38" i="4"/>
  <c r="J38" i="4"/>
  <c r="A1" i="4"/>
  <c r="P34" i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l="1"/>
  <c r="P46" i="1" l="1"/>
  <c r="P47" i="1" s="1"/>
  <c r="P48" i="1" s="1"/>
  <c r="P49" i="1" s="1"/>
  <c r="P50" i="1" s="1"/>
  <c r="Q44" i="1"/>
</calcChain>
</file>

<file path=xl/sharedStrings.xml><?xml version="1.0" encoding="utf-8"?>
<sst xmlns="http://schemas.openxmlformats.org/spreadsheetml/2006/main" count="653" uniqueCount="258">
  <si>
    <t>Partner Budget</t>
  </si>
  <si>
    <t>Total</t>
  </si>
  <si>
    <t>Budget exceed</t>
  </si>
  <si>
    <t>Consumption</t>
  </si>
  <si>
    <t>March Estimated Consumption</t>
  </si>
  <si>
    <t>Service</t>
  </si>
  <si>
    <t>Description</t>
  </si>
  <si>
    <t>Region</t>
  </si>
  <si>
    <t>AZ</t>
  </si>
  <si>
    <t>Billing Mode</t>
  </si>
  <si>
    <t>Purchase Amount</t>
  </si>
  <si>
    <t>Unit</t>
  </si>
  <si>
    <t>Quantity</t>
  </si>
  <si>
    <t>Specifications</t>
  </si>
  <si>
    <t>Unit Price (USD)</t>
  </si>
  <si>
    <t>Discounted Unit Price (USD)</t>
  </si>
  <si>
    <t>Original Price (USD)</t>
  </si>
  <si>
    <t>Discount Amount (USD)</t>
  </si>
  <si>
    <t>Discounted Price (USD)</t>
  </si>
  <si>
    <t>Elastic Cloud Server 1</t>
  </si>
  <si>
    <t>CDP-AD365-01</t>
  </si>
  <si>
    <t>LA-Mexico City2</t>
  </si>
  <si>
    <t xml:space="preserve">General AZ </t>
  </si>
  <si>
    <t>Pay-per-use</t>
  </si>
  <si>
    <t>hours</t>
  </si>
  <si>
    <t xml:space="preserve">x86 | General computing | x0.8u.16g | 8 vCPUs | 16GiB; Huawei Cloud EulerOS | Huawei Cloud EulerOS 2.0 Standard 64 bit; General Purpose SSD | 280GB; </t>
  </si>
  <si>
    <t>Elastic Cloud Server 2</t>
  </si>
  <si>
    <t>CDP-APPSRV-01</t>
  </si>
  <si>
    <t xml:space="preserve">x86 | General computing | x0.4u.6g | 4 vCPUs | 6GiB; Huawei Cloud EulerOS | Huawei Cloud EulerOS 2.0 Standard 64 bit; General Purpose SSD | 400GB; </t>
  </si>
  <si>
    <t>Elastic Cloud Server 3</t>
  </si>
  <si>
    <t>CDP-APPSRV-03</t>
  </si>
  <si>
    <t xml:space="preserve">x86 | General computing | x0.4u.8g | 4 vCPUs | 8GiB; Huawei Cloud EulerOS | Huawei Cloud EulerOS 2.0 Standard 64 bit; General Purpose SSD | 200GB; </t>
  </si>
  <si>
    <t>Elastic Cloud Server 4</t>
  </si>
  <si>
    <t>CDP-DB-OP</t>
  </si>
  <si>
    <t xml:space="preserve">x86 | General computing-plus | ac8.xlarge.4 | 4 vCPUs | 16GiB; CentOS | CentOS 8.2 64bit; General Purpose SSD | 380GB; </t>
  </si>
  <si>
    <t>Elastic Cloud Server 5</t>
  </si>
  <si>
    <t>CDP-DC-1.0</t>
  </si>
  <si>
    <t xml:space="preserve">x86 | General computing | x0.4u.12g | 4 vCPUs | 12GiB; Huawei Cloud EulerOS | Huawei Cloud EulerOS 2.0 Standard 64 bit; General Purpose SSD | 119GB; </t>
  </si>
  <si>
    <t>Elastic Cloud Server 6</t>
  </si>
  <si>
    <t>CDP-DC-1.1</t>
  </si>
  <si>
    <t xml:space="preserve">x86 | General computing | x0.4u.12g | 4 vCPUs | 12GiB; Huawei Cloud EulerOS | Huawei Cloud EulerOS 2.0 Standard 64 bit; General Purpose SSD | 130GB; </t>
  </si>
  <si>
    <t>Elastic Cloud Server 7</t>
  </si>
  <si>
    <t>CDP-FS-01</t>
  </si>
  <si>
    <t xml:space="preserve">x86 | General computing | x0.6u.18g | 6 vCPUs | 18GiB; Huawei Cloud EulerOS | Huawei Cloud EulerOS 2.0 Standard 64 bit; General Purpose SSD | 1024GB; General Purpose SSD | 1024GB; General Purpose SSD | 1024GB; General Purpose SSD | 1024GB; General Purpose SSD | 1024GB; </t>
  </si>
  <si>
    <t>Elastic Cloud Server 8</t>
  </si>
  <si>
    <t>CDP-NewCrosh-01</t>
  </si>
  <si>
    <t xml:space="preserve">x86 | General computing | x0.8u.8g | 8 vCPUs | 8GiB; Huawei Cloud EulerOS | Huawei Cloud EulerOS 2.0 Standard 64 bit; General Purpose SSD | 160GB; </t>
  </si>
  <si>
    <t>Elastic Cloud Server 9</t>
  </si>
  <si>
    <t>CDP-SRVME-01</t>
  </si>
  <si>
    <t xml:space="preserve">x86 | General computing | x0.4u.10g | 4 vCPUs | 10GiB; Huawei Cloud EulerOS | Huawei Cloud EulerOS 2.0 Standard 64 bit; General Purpose SSD | 250GB; </t>
  </si>
  <si>
    <t>Elastic Cloud Server 10</t>
  </si>
  <si>
    <t>CDP-NW-OBRAS</t>
  </si>
  <si>
    <t xml:space="preserve">x86 | General computing | x0.4u.12g | 4 vCPUs | 12GiB; Huawei Cloud EulerOS | Huawei Cloud EulerOS 2.0 Standard 64 bit; General Purpose SSD | 350GB; </t>
  </si>
  <si>
    <t>Elastic Cloud Server 11</t>
  </si>
  <si>
    <t>CDP-PRTSRV-01</t>
  </si>
  <si>
    <t xml:space="preserve">x86 | General computing | x0.2u.8g | 2 vCPUs | 8GiB; Huawei Cloud EulerOS | Huawei Cloud EulerOS 2.0 Standard 64 bit; General Purpose SSD | 104GB; </t>
  </si>
  <si>
    <t>Elastic Cloud Server 12</t>
  </si>
  <si>
    <t>CDP-SAP-03</t>
  </si>
  <si>
    <t xml:space="preserve">x86 | General computing | x0.8u.32g | 8 vCPUs | 32GiB; Huawei Cloud EulerOS | Huawei Cloud EulerOS 2.0 Standard 64 bit; General Purpose SSD | 540GB; </t>
  </si>
  <si>
    <t>Elastic Cloud Server 13</t>
  </si>
  <si>
    <t>CDP-SAP-04</t>
  </si>
  <si>
    <t xml:space="preserve">x86 | General computing | x0.8u.32g | 8 vCPUs | 32GiB; Huawei Cloud EulerOS | Huawei Cloud EulerOS 2.0 Standard 64 bit; General Purpose SSD | 470GB; </t>
  </si>
  <si>
    <t>Elastic Cloud Server 14</t>
  </si>
  <si>
    <t>CDP-SAP-05</t>
  </si>
  <si>
    <t>Elastic Cloud Server 15</t>
  </si>
  <si>
    <t>CDP-SAP-06</t>
  </si>
  <si>
    <t xml:space="preserve">x86 | General computing | x0.8u.8g | 8 vCPUs | 8GiB; Huawei Cloud EulerOS | Huawei Cloud EulerOS 2.0 Standard 64 bit; General Purpose SSD | 50GB; </t>
  </si>
  <si>
    <t>Elastic Cloud Server 16</t>
  </si>
  <si>
    <t>CDP-SAP-07</t>
  </si>
  <si>
    <t xml:space="preserve">x86 | General computing | x0.8u.32g | 8 vCPUs | 32GiB; Huawei Cloud EulerOS | Huawei Cloud EulerOS 2.0 Standard 64 bit; General Purpose SSD | 400GB; </t>
  </si>
  <si>
    <t>Elastic Cloud Server 17</t>
  </si>
  <si>
    <t>CDP-SAP-08</t>
  </si>
  <si>
    <t>Elastic Cloud Server 18</t>
  </si>
  <si>
    <t>CDP-UTC-01</t>
  </si>
  <si>
    <t xml:space="preserve">x86 | General computing | x0.2u.6g | 2 vCPUs | 6GiB; Huawei Cloud EulerOS | Huawei Cloud EulerOS 2.0 Standard 64 bit; General Purpose SSD | 300GB; </t>
  </si>
  <si>
    <t>Elastic Cloud Server 19</t>
  </si>
  <si>
    <t>CDP-W10-CA</t>
  </si>
  <si>
    <t xml:space="preserve">x86 | General computing | x0.4u.16g | 4 vCPUs | 16GiB; Huawei Cloud EulerOS | Huawei Cloud EulerOS 2.0 Standard 64 bit; General Purpose SSD | 100GB; </t>
  </si>
  <si>
    <t>Elastic Cloud Server 20</t>
  </si>
  <si>
    <t>CDPSPNSVR</t>
  </si>
  <si>
    <t xml:space="preserve">x86 | General computing | x0.16u.8g | 16 vCPUs | 8GiB; Huawei Cloud EulerOS | Huawei Cloud EulerOS 2.0 Standard 64 bit; General Purpose SSD | 300GB; </t>
  </si>
  <si>
    <t>Elastic Cloud Server 21</t>
  </si>
  <si>
    <t>GLPI-SRVR</t>
  </si>
  <si>
    <t xml:space="preserve">x86 | General computing | x0.4u.4g | 4 vCPUs | 4GiB; Huawei Cloud EulerOS | Huawei Cloud EulerOS 2.0 Standard 64 bit; General Purpose SSD | 40GB; </t>
  </si>
  <si>
    <t>Elastic Cloud Server 22</t>
  </si>
  <si>
    <t>NAGIOS SERVER</t>
  </si>
  <si>
    <t xml:space="preserve">x86 | General computing | x0.1u.4g | 1vCPU | 4GiB; Huawei Cloud EulerOS | Huawei Cloud EulerOS 2.0 Standard 64 bit; General Purpose SSD | 100GB; </t>
  </si>
  <si>
    <t>Elastic Cloud Server 23</t>
  </si>
  <si>
    <t>New-Soft BD 220</t>
  </si>
  <si>
    <t xml:space="preserve">x86 | General computing-plus | ac8.xlarge.2 | 4 vCPUs | 8GiB; Huawei Cloud EulerOS | Huawei Cloud EulerOS 2.0 Standard 64 bit; General Purpose SSD | 80GB; </t>
  </si>
  <si>
    <t>Elastic Cloud Server 24</t>
  </si>
  <si>
    <t>New-Soft BD 221-245</t>
  </si>
  <si>
    <t xml:space="preserve">x86 | General computing | x0.1u.4g | 1vCPU | 4GiB; Huawei Cloud EulerOS | Huawei Cloud EulerOS 2.0 Standard 64 bit; General Purpose SSD | 80GB; </t>
  </si>
  <si>
    <t>Elastic Cloud Server 25</t>
  </si>
  <si>
    <t>NEWSOFT-SUPPORT</t>
  </si>
  <si>
    <t xml:space="preserve">x86 | General computing | x0.4u.4g | 4 vCPUs | 4GiB; Huawei Cloud EulerOS | Huawei Cloud EulerOS 2.0 Standard 64 bit; General Purpose SSD | 80GB; </t>
  </si>
  <si>
    <t>Elastic Cloud Server 26</t>
  </si>
  <si>
    <t>OCS-SRVR-01</t>
  </si>
  <si>
    <t xml:space="preserve">x86 | General computing | x0.4u.4g | 4 vCPUs | 4GiB; Huawei Cloud EulerOS | Huawei Cloud EulerOS 2.0 Standard 64 bit; General Purpose SSD | 45GB; </t>
  </si>
  <si>
    <t>Cloud Backup and Recovery 1</t>
  </si>
  <si>
    <t>Cloud Backup and Recovery</t>
  </si>
  <si>
    <t>Monthly</t>
  </si>
  <si>
    <t>month</t>
  </si>
  <si>
    <t xml:space="preserve">Server backup vault | 14446GB; </t>
  </si>
  <si>
    <t>Virtual Private Network 1</t>
  </si>
  <si>
    <t>Virtual Private Network</t>
  </si>
  <si>
    <t xml:space="preserve">Professional 1 | 10amountsVPN Connection Groups; 1Mbit/s; 1Mbit/s; </t>
  </si>
  <si>
    <t>NAT Gateway 1</t>
  </si>
  <si>
    <t>NAT Gateway</t>
  </si>
  <si>
    <t xml:space="preserve">Small; </t>
  </si>
  <si>
    <t>Elastic IP 1</t>
  </si>
  <si>
    <t>Elastic IP</t>
  </si>
  <si>
    <t xml:space="preserve">Dedicated | Dynamic BGP | Traffic | 1TB; 1 ; </t>
  </si>
  <si>
    <t>Elastic Cloud Server 27</t>
  </si>
  <si>
    <t>SAP 01 SERVER</t>
  </si>
  <si>
    <t xml:space="preserve">x86 | Memory-optimized | m7n.16xlarge.8 | 64 vCPUs | 512GiB; AlmaLinux | AlmaLinux 9.4 64bit; High I/O | 1024GB; High I/O | 500GB; </t>
  </si>
  <si>
    <t>Elastic Cloud Server 28</t>
  </si>
  <si>
    <t>SAP 02 SERVER</t>
  </si>
  <si>
    <t xml:space="preserve">x86 | Large-memory | e7.12xlarge.20 | 48 vCPUs | 960GiB; CentOS | CentOS 8.2 64bit; High I/O | 1024GB; High I/O | 500GB; </t>
  </si>
  <si>
    <t>Elastic Cloud Server 29</t>
  </si>
  <si>
    <t>New Server</t>
  </si>
  <si>
    <t>Support Plans 1</t>
  </si>
  <si>
    <t>Support Plans</t>
  </si>
  <si>
    <t xml:space="preserve">Business | 4500USD/month; </t>
  </si>
  <si>
    <t xml:space="preserve">Server backup vault | 7168GB; </t>
  </si>
  <si>
    <t>Total Price</t>
  </si>
  <si>
    <t>The preceding price is for reference only and may vary from the final price in your bill</t>
  </si>
  <si>
    <t>Consumption with no SAP Prod Server</t>
  </si>
  <si>
    <t>Ran out on 3.10</t>
  </si>
  <si>
    <t>CRM data</t>
  </si>
  <si>
    <t>Total consumption until 3.19</t>
  </si>
  <si>
    <t>Calculate based on PPU consumption 
excluding the server to be migrated on April</t>
  </si>
  <si>
    <t>Feb Consumption</t>
  </si>
  <si>
    <t>March Consumption (until 3.19)</t>
  </si>
  <si>
    <t>Days remaining</t>
  </si>
  <si>
    <t>SAP 01 SERVER (PHYSICAL)</t>
  </si>
  <si>
    <t>FMP, CODELPA, Huawei</t>
  </si>
  <si>
    <t>Make necessary adjustments based on the tests</t>
  </si>
  <si>
    <t>Review test results</t>
  </si>
  <si>
    <t>CODELPA</t>
  </si>
  <si>
    <t>Run End-Of-Month Close test on Huawei Cloud</t>
  </si>
  <si>
    <t>Phase 4 - Satisfaction Criteria Test:</t>
  </si>
  <si>
    <t>Deploy and start syncronization for SAP Production Server</t>
  </si>
  <si>
    <t>SAP 02 SERVER (PHYSICAL)</t>
  </si>
  <si>
    <t>Upload images for New-Soft database servers</t>
  </si>
  <si>
    <t>CODELPA, FMP</t>
  </si>
  <si>
    <t>Run test with customers on SAP 02 Server</t>
  </si>
  <si>
    <t>Deploy and start syncronization for SAP Application Servers</t>
  </si>
  <si>
    <t>Deploy and start syncronization for SAP 02 Server (Dev)</t>
  </si>
  <si>
    <t>Phase 3 - Migrate SAP servers and databases</t>
  </si>
  <si>
    <t>Deploy and start syncronization for the fifth servers batch (18)</t>
  </si>
  <si>
    <t>Deploy and start syncronization for the fourth servers batch (15-17)</t>
  </si>
  <si>
    <t>Deploy and start syncronization for the third servers batch (10-15)</t>
  </si>
  <si>
    <t>Deploy and start syncronization for the second servers batch (5-10)</t>
  </si>
  <si>
    <t>Deploy and start syncronization for the first servers batch (1-5)</t>
  </si>
  <si>
    <t>Phase 2 - Migrate non-critical servers</t>
  </si>
  <si>
    <t>CODELPA, Huawei</t>
  </si>
  <si>
    <t>VPN Configuration between Huawei Cloud On-Premise</t>
  </si>
  <si>
    <t>Security Group Definition</t>
  </si>
  <si>
    <t>Provisioning the VPC and subnets. Customer network replication</t>
  </si>
  <si>
    <t>2.1</t>
  </si>
  <si>
    <t>Phase 1 - Network Settings:</t>
  </si>
  <si>
    <t>2</t>
  </si>
  <si>
    <t>Creating IAM Users</t>
  </si>
  <si>
    <t>Partner FMP Console Association</t>
  </si>
  <si>
    <t>Creating the account</t>
  </si>
  <si>
    <t>Kick-off Meeting</t>
  </si>
  <si>
    <t/>
  </si>
  <si>
    <t>Preparation phase:</t>
  </si>
  <si>
    <t>1</t>
  </si>
  <si>
    <t>End Date</t>
  </si>
  <si>
    <t>Start Date</t>
  </si>
  <si>
    <t>Progress</t>
  </si>
  <si>
    <t>Name</t>
  </si>
  <si>
    <t>Id</t>
  </si>
  <si>
    <t>Server</t>
  </si>
  <si>
    <t>Num.</t>
  </si>
  <si>
    <t>Responsible</t>
  </si>
  <si>
    <t>Indefinite</t>
  </si>
  <si>
    <t>Servers List</t>
  </si>
  <si>
    <t>CODELPA Infrastructure Environment</t>
  </si>
  <si>
    <t>Migration Plan
CODELPA Infrastructure Environment</t>
  </si>
  <si>
    <t>Environment cutover to the cloud &amp; buy RI</t>
  </si>
  <si>
    <t>Buy Support Plan</t>
  </si>
  <si>
    <t>Total consumption</t>
  </si>
  <si>
    <t>Daily consumption for April</t>
  </si>
  <si>
    <t>Estimated Daily Consumption for April</t>
  </si>
  <si>
    <t>February and March Analysis</t>
  </si>
  <si>
    <t>Estimated migration days in April</t>
  </si>
  <si>
    <t>Buffer days</t>
  </si>
  <si>
    <t>Total days</t>
  </si>
  <si>
    <t>April Migration Coupon Amount</t>
  </si>
  <si>
    <t>MIGRATION COUPON TOTAL AMOUNT</t>
  </si>
  <si>
    <t>Based on project plan</t>
  </si>
  <si>
    <t>Day (March)</t>
  </si>
  <si>
    <t>April Analysis</t>
  </si>
  <si>
    <t>Total Feb/Mar Consumption Minus Partner Budget</t>
  </si>
  <si>
    <t>Required</t>
  </si>
  <si>
    <t>3-years unit price (USD)</t>
  </si>
  <si>
    <t>Monthly Price (USD)</t>
  </si>
  <si>
    <t xml:space="preserve"> RI</t>
  </si>
  <si>
    <t xml:space="preserve">BYOL | General computing | x0.8u.16g | 8 vCPUs | 16GiB | No Upfront | 3 Years; General Purpose SSD | 280GB; </t>
  </si>
  <si>
    <t xml:space="preserve">BYOL | General computing | x0.4u.6g | 4 vCPUs | 6GiB | No Upfront | 3 Years; General Purpose SSD | 400GB; </t>
  </si>
  <si>
    <t xml:space="preserve">BYOL | General computing | x0.4u.8g | 4 vCPUs | 8GiB | No Upfront | 3 Years; General Purpose SSD | 200GB; </t>
  </si>
  <si>
    <t xml:space="preserve">BYOL | General computing-plus | ac8.xlarge.4 | 4 vCPUs | 16GiB | No Upfront | 3 Years; General Purpose SSD | 380GB; </t>
  </si>
  <si>
    <t xml:space="preserve">BYOL | General computing | x0.4u.12g | 4 vCPUs | 12GiB | No Upfront | 3 Years; General Purpose SSD | 119GB; </t>
  </si>
  <si>
    <t xml:space="preserve">BYOL | General computing | x0.4u.12g | 4 vCPUs | 12GiB | No Upfront | 3 Years; General Purpose SSD | 130GB; </t>
  </si>
  <si>
    <t xml:space="preserve">BYOL | General computing | x0.6u.18g | 6 vCPUs | 18GiB | No Upfront | 3 Years; General Purpose SSD | 1024GB; General Purpose SSD | 1024GB; General Purpose SSD | 1024GB; General Purpose SSD | 1024GB; General Purpose SSD | 1024GB; </t>
  </si>
  <si>
    <t xml:space="preserve">BYOL | General computing | x0.8u.8g | 8 vCPUs | 8GiB | No Upfront | 3 Years; General Purpose SSD | 160GB; </t>
  </si>
  <si>
    <t xml:space="preserve">BYOL | General computing | x0.4u.10g | 4 vCPUs | 10GiB | No Upfront | 3 Years; General Purpose SSD | 250GB; </t>
  </si>
  <si>
    <t xml:space="preserve">BYOL | General computing | x0.4u.12g | 4 vCPUs | 12GiB | No Upfront | 3 Years; General Purpose SSD | 350GB; </t>
  </si>
  <si>
    <t xml:space="preserve">BYOL | General computing | x0.2u.8g | 2 vCPUs | 8GiB | No Upfront | 3 Years; General Purpose SSD | 104GB; </t>
  </si>
  <si>
    <t xml:space="preserve">BYOL | General computing | x0.8u.32g | 8 vCPUs | 32GiB | No Upfront | 3 Years; General Purpose SSD | 540GB; </t>
  </si>
  <si>
    <t xml:space="preserve">BYOL | General computing | x0.8u.32g | 8 vCPUs | 32GiB | No Upfront | 3 Years; General Purpose SSD | 470GB; </t>
  </si>
  <si>
    <t xml:space="preserve">BYOL | General computing | x0.8u.8g | 8 vCPUs | 8GiB | No Upfront | 3 Years; General Purpose SSD | 50GB; </t>
  </si>
  <si>
    <t xml:space="preserve">BYOL | General computing | x0.8u.32g | 8 vCPUs | 32GiB | No Upfront | 3 Years; General Purpose SSD | 400GB; </t>
  </si>
  <si>
    <t xml:space="preserve">BYOL | General computing | x0.2u.6g | 2 vCPUs | 6GiB | No Upfront | 3 Years; General Purpose SSD | 300GB; </t>
  </si>
  <si>
    <t xml:space="preserve">BYOL | General computing | x0.4u.16g | 4 vCPUs | 16GiB | No Upfront | 3 Years; General Purpose SSD | 100GB; </t>
  </si>
  <si>
    <t xml:space="preserve">BYOL | General computing | x0.16u.8g | 16 vCPUs | 8GiB | No Upfront | 3 Years; General Purpose SSD | 300GB; </t>
  </si>
  <si>
    <t xml:space="preserve">BYOL | General computing | x0.4u.4g | 4 vCPUs | 4GiB | No Upfront | 3 Years; General Purpose SSD | 40GB; </t>
  </si>
  <si>
    <t xml:space="preserve">BYOL | General computing | x0.1u.4g | 1vCPU | 4GiB | No Upfront | 3 Years; General Purpose SSD | 100GB; </t>
  </si>
  <si>
    <t xml:space="preserve">BYOL | General computing-plus | ac8.xlarge.2 | 4 vCPUs | 8GiB | No Upfront | 3 Years; General Purpose SSD | 80GB; </t>
  </si>
  <si>
    <t xml:space="preserve">BYOL | General computing | x0.1u.4g | 1vCPU | 4GiB | No Upfront | 3 Years; General Purpose SSD | 80GB; </t>
  </si>
  <si>
    <t xml:space="preserve">BYOL | General computing | x0.4u.4g | 4 vCPUs | 4GiB | No Upfront | 3 Years; General Purpose SSD | 80GB; </t>
  </si>
  <si>
    <t xml:space="preserve">BYOL | General computing | x0.4u.4g | 4 vCPUs | 4GiB | No Upfront | 3 Years; General Purpose SSD | 45GB; </t>
  </si>
  <si>
    <t xml:space="preserve">CentOS | CentOS 8.2 64bit; x86 | Large-memory | e7.12xlarge.20 | 48 vCPUs | 960GiB | No Upfront | 3 Years; High I/O | 1024GB; High I/O | 500GB; </t>
  </si>
  <si>
    <t>Support Plan</t>
  </si>
  <si>
    <t>The preceding price is for reference only and may vary from the final price in your bill. Licensing costs are not included.</t>
  </si>
  <si>
    <t>Monthly IaaS Price List</t>
    <phoneticPr fontId="5" type="noConversion"/>
  </si>
  <si>
    <t>Discount %</t>
    <phoneticPr fontId="5" type="noConversion"/>
  </si>
  <si>
    <t>Monthly Discount Price</t>
  </si>
  <si>
    <t>Implementation Fee</t>
    <phoneticPr fontId="5" type="noConversion"/>
  </si>
  <si>
    <t>Monthly Price</t>
    <phoneticPr fontId="5" type="noConversion"/>
  </si>
  <si>
    <t xml:space="preserve">AlmaLinux | AlmaLinux 9.4 64bit; x86 | Memory-optimized | m7n.16xlarge.8 | 64 vCPUs | 512GiB | No Upfront | 3 Years; High I/O | 1024GB; High I/O | 500GB; </t>
  </si>
  <si>
    <t>Feb/March Consumption</t>
  </si>
  <si>
    <t>Feb/March Coupon Amount</t>
  </si>
  <si>
    <t>Including SAP prod server, until cutover</t>
  </si>
  <si>
    <t>After buying RI</t>
  </si>
  <si>
    <t>April PPU Consumption</t>
  </si>
  <si>
    <t>April RI Consumption</t>
  </si>
  <si>
    <t>CODELPA - MIGRATION COUPON APPLICATION</t>
  </si>
  <si>
    <t>Customer Name:</t>
    <phoneticPr fontId="3" type="noConversion"/>
  </si>
  <si>
    <t>Partner Name:</t>
    <phoneticPr fontId="3" type="noConversion"/>
  </si>
  <si>
    <t>FMP Technologies</t>
  </si>
  <si>
    <t>BD/PBD</t>
    <phoneticPr fontId="3" type="noConversion"/>
  </si>
  <si>
    <t>Delvin Perez 00627801</t>
  </si>
  <si>
    <t>Engineer:</t>
    <phoneticPr fontId="3" type="noConversion"/>
  </si>
  <si>
    <t>Erick Jesus Tejada Rodriguez 84434264</t>
  </si>
  <si>
    <t>Huawei Cloud Account:</t>
    <phoneticPr fontId="3" type="noConversion"/>
  </si>
  <si>
    <t>hid_dx4bhqi0-tq31zd</t>
  </si>
  <si>
    <t>Migration Time:</t>
  </si>
  <si>
    <t>03-16-26 to 04-10-26</t>
  </si>
  <si>
    <t>MRR</t>
  </si>
  <si>
    <t>6k</t>
  </si>
  <si>
    <t>Coupon Amount</t>
  </si>
  <si>
    <t>Project Scenarios (such as SAP B1, DRP, Backup)</t>
    <phoneticPr fontId="3" type="noConversion"/>
  </si>
  <si>
    <t>11k</t>
  </si>
  <si>
    <t>IaaS Migration
Reserved instances for CODELPA were quoted, but during migration the servers must run pay-per-use, increasing the cost to ~USD 11K and exceeding the partner’s budget.
Since the migration and SAP cutover will finish on April 10 (to leverage the Holy Week holiday), a 30 days USD 11,500 coupon is requested to cover the temporary cost difference until the reserved instances are purchased.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</si>
</sst>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###"/>
    <numFmt numFmtId="165" formatCode="_(* #,##0_);_(* \(#,##0\);_(* &quot;-&quot;??_);_(@_)"/>
    <numFmt numFmtId="166" formatCode="&quot;$&quot;#,##0;[Red]\-&quot;$&quot;#,##0"/>
  </numFmts>
  <fonts count="35"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宋体"/>
      <family val="3"/>
      <charset val="134"/>
    </font>
    <font>
      <sz val="1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14"/>
      <color rgb="FFFFFFF0"/>
      <name val="微软雅黑"/>
    </font>
    <font>
      <sz val="12"/>
      <name val="微软雅黑"/>
    </font>
    <font>
      <sz val="12"/>
      <color rgb="FF00CD00"/>
      <name val="微软雅黑"/>
    </font>
    <font>
      <sz val="12"/>
      <color rgb="FFCD2626"/>
      <name val="微软雅黑"/>
    </font>
    <font>
      <sz val="12"/>
      <color rgb="FF8F8F8F"/>
      <name val="微软雅黑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</font>
    <font>
      <b/>
      <sz val="10"/>
      <color rgb="FFFFFFFF"/>
      <name val="Calibri"/>
      <family val="2"/>
    </font>
    <font>
      <b/>
      <sz val="12"/>
      <color theme="0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</font>
    <font>
      <b/>
      <sz val="11"/>
      <color rgb="FFC00000"/>
      <name val="Arial"/>
      <family val="2"/>
    </font>
    <font>
      <b/>
      <sz val="16"/>
      <name val="Arial"/>
      <family val="2"/>
    </font>
    <font>
      <sz val="12"/>
      <color theme="1"/>
      <name val="微软雅黑"/>
    </font>
    <font>
      <sz val="12"/>
      <color rgb="FF00B050"/>
      <name val="微软雅黑"/>
    </font>
    <font>
      <b/>
      <u/>
      <sz val="20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i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874CD"/>
      </patternFill>
    </fill>
    <fill>
      <patternFill patternType="solid">
        <fgColor rgb="FFDBDBDB"/>
      </patternFill>
    </fill>
    <fill>
      <patternFill patternType="solid">
        <fgColor rgb="FFF5F5F5"/>
      </patternFill>
    </fill>
    <fill>
      <patternFill patternType="solid">
        <fgColor rgb="FFF2F2F2"/>
        <bgColor rgb="FFF2F2F2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42C4CE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>
      <alignment vertical="center"/>
    </xf>
    <xf numFmtId="43" fontId="4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" fillId="0" borderId="0"/>
  </cellStyleXfs>
  <cellXfs count="152">
    <xf numFmtId="0" fontId="0" fillId="0" borderId="0" xfId="0">
      <alignment vertical="center"/>
    </xf>
    <xf numFmtId="0" fontId="3" fillId="0" borderId="0" xfId="0" applyFont="1">
      <alignment vertical="center"/>
    </xf>
    <xf numFmtId="43" fontId="0" fillId="0" borderId="0" xfId="1" applyFont="1" applyAlignment="1">
      <alignment vertical="center"/>
    </xf>
    <xf numFmtId="43" fontId="0" fillId="0" borderId="0" xfId="0" applyNumberFormat="1">
      <alignment vertical="center"/>
    </xf>
    <xf numFmtId="0" fontId="0" fillId="0" borderId="1" xfId="0" applyBorder="1">
      <alignment vertical="center"/>
    </xf>
    <xf numFmtId="43" fontId="0" fillId="0" borderId="1" xfId="0" applyNumberFormat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43" fontId="7" fillId="0" borderId="1" xfId="1" applyFont="1" applyBorder="1" applyAlignment="1">
      <alignment vertical="center"/>
    </xf>
    <xf numFmtId="43" fontId="0" fillId="0" borderId="1" xfId="1" applyFont="1" applyBorder="1" applyAlignment="1">
      <alignment vertical="center"/>
    </xf>
    <xf numFmtId="43" fontId="4" fillId="0" borderId="1" xfId="1" applyFont="1" applyBorder="1" applyAlignment="1">
      <alignment vertical="center"/>
    </xf>
    <xf numFmtId="0" fontId="8" fillId="0" borderId="0" xfId="2" applyFont="1"/>
    <xf numFmtId="0" fontId="9" fillId="3" borderId="0" xfId="2" applyFont="1" applyFill="1" applyAlignment="1">
      <alignment horizontal="left" vertical="center" wrapText="1"/>
    </xf>
    <xf numFmtId="0" fontId="9" fillId="3" borderId="0" xfId="2" applyFont="1" applyFill="1" applyAlignment="1">
      <alignment horizontal="right" vertical="center" wrapText="1"/>
    </xf>
    <xf numFmtId="0" fontId="9" fillId="3" borderId="2" xfId="2" applyFont="1" applyFill="1" applyBorder="1" applyAlignment="1">
      <alignment horizontal="right" vertical="center" wrapText="1"/>
    </xf>
    <xf numFmtId="0" fontId="9" fillId="0" borderId="0" xfId="2" applyFont="1"/>
    <xf numFmtId="0" fontId="9" fillId="0" borderId="3" xfId="2" applyFont="1" applyBorder="1" applyAlignment="1">
      <alignment horizontal="left" vertical="center" wrapText="1"/>
    </xf>
    <xf numFmtId="164" fontId="9" fillId="0" borderId="0" xfId="2" applyNumberFormat="1" applyFont="1" applyAlignment="1">
      <alignment horizontal="right" vertical="center" wrapText="1"/>
    </xf>
    <xf numFmtId="164" fontId="10" fillId="0" borderId="0" xfId="2" applyNumberFormat="1" applyFont="1" applyAlignment="1">
      <alignment horizontal="right" vertical="center" wrapText="1"/>
    </xf>
    <xf numFmtId="164" fontId="11" fillId="0" borderId="2" xfId="2" applyNumberFormat="1" applyFont="1" applyBorder="1" applyAlignment="1">
      <alignment horizontal="right" vertical="center" wrapText="1"/>
    </xf>
    <xf numFmtId="0" fontId="2" fillId="0" borderId="0" xfId="2"/>
    <xf numFmtId="4" fontId="9" fillId="4" borderId="4" xfId="2" applyNumberFormat="1" applyFont="1" applyFill="1" applyBorder="1" applyAlignment="1">
      <alignment horizontal="right" vertical="center" wrapText="1"/>
    </xf>
    <xf numFmtId="4" fontId="10" fillId="4" borderId="4" xfId="2" applyNumberFormat="1" applyFont="1" applyFill="1" applyBorder="1" applyAlignment="1">
      <alignment horizontal="right" vertical="center" wrapText="1"/>
    </xf>
    <xf numFmtId="4" fontId="11" fillId="4" borderId="5" xfId="2" applyNumberFormat="1" applyFont="1" applyFill="1" applyBorder="1" applyAlignment="1">
      <alignment horizontal="right" vertical="center" wrapText="1"/>
    </xf>
    <xf numFmtId="4" fontId="9" fillId="3" borderId="4" xfId="2" applyNumberFormat="1" applyFont="1" applyFill="1" applyBorder="1" applyAlignment="1">
      <alignment horizontal="right" vertical="center" wrapText="1"/>
    </xf>
    <xf numFmtId="4" fontId="10" fillId="3" borderId="4" xfId="2" applyNumberFormat="1" applyFont="1" applyFill="1" applyBorder="1" applyAlignment="1">
      <alignment horizontal="right" vertical="center" wrapText="1"/>
    </xf>
    <xf numFmtId="4" fontId="11" fillId="3" borderId="5" xfId="2" applyNumberFormat="1" applyFont="1" applyFill="1" applyBorder="1" applyAlignment="1">
      <alignment horizontal="right" vertical="center" wrapText="1"/>
    </xf>
    <xf numFmtId="164" fontId="2" fillId="0" borderId="1" xfId="2" applyNumberFormat="1" applyBorder="1"/>
    <xf numFmtId="0" fontId="6" fillId="0" borderId="1" xfId="2" applyFont="1" applyBorder="1"/>
    <xf numFmtId="0" fontId="7" fillId="0" borderId="1" xfId="0" applyFont="1" applyFill="1" applyBorder="1">
      <alignment vertical="center"/>
    </xf>
    <xf numFmtId="43" fontId="7" fillId="0" borderId="1" xfId="0" applyNumberFormat="1" applyFont="1" applyBorder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2" fillId="0" borderId="0" xfId="3"/>
    <xf numFmtId="9" fontId="16" fillId="0" borderId="0" xfId="3" applyNumberFormat="1" applyFont="1"/>
    <xf numFmtId="0" fontId="16" fillId="0" borderId="6" xfId="3" applyFont="1" applyBorder="1" applyAlignment="1">
      <alignment horizontal="left" wrapText="1"/>
    </xf>
    <xf numFmtId="43" fontId="17" fillId="5" borderId="7" xfId="4" applyFont="1" applyFill="1" applyBorder="1" applyAlignment="1">
      <alignment horizontal="left" wrapText="1"/>
    </xf>
    <xf numFmtId="0" fontId="18" fillId="0" borderId="1" xfId="2" applyFont="1" applyBorder="1" applyAlignment="1">
      <alignment horizontal="left" vertical="center" wrapText="1"/>
    </xf>
    <xf numFmtId="0" fontId="19" fillId="0" borderId="1" xfId="2" applyFont="1" applyBorder="1" applyAlignment="1">
      <alignment horizontal="center" vertical="center"/>
    </xf>
    <xf numFmtId="0" fontId="16" fillId="0" borderId="8" xfId="3" applyFont="1" applyBorder="1" applyAlignment="1">
      <alignment horizontal="left" wrapText="1"/>
    </xf>
    <xf numFmtId="14" fontId="16" fillId="0" borderId="9" xfId="3" applyNumberFormat="1" applyFont="1" applyBorder="1" applyAlignment="1">
      <alignment horizontal="left" wrapText="1"/>
    </xf>
    <xf numFmtId="9" fontId="17" fillId="5" borderId="7" xfId="3" applyNumberFormat="1" applyFont="1" applyFill="1" applyBorder="1" applyAlignment="1">
      <alignment horizontal="left" wrapText="1"/>
    </xf>
    <xf numFmtId="0" fontId="16" fillId="0" borderId="10" xfId="3" applyFont="1" applyBorder="1" applyAlignment="1">
      <alignment horizontal="left" wrapText="1"/>
    </xf>
    <xf numFmtId="0" fontId="17" fillId="5" borderId="11" xfId="3" applyFont="1" applyFill="1" applyBorder="1" applyAlignment="1">
      <alignment horizontal="left" wrapText="1"/>
    </xf>
    <xf numFmtId="14" fontId="17" fillId="5" borderId="12" xfId="3" applyNumberFormat="1" applyFont="1" applyFill="1" applyBorder="1" applyAlignment="1">
      <alignment horizontal="left" wrapText="1"/>
    </xf>
    <xf numFmtId="0" fontId="17" fillId="5" borderId="7" xfId="3" applyFont="1" applyFill="1" applyBorder="1" applyAlignment="1">
      <alignment horizontal="left" wrapText="1"/>
    </xf>
    <xf numFmtId="0" fontId="17" fillId="5" borderId="13" xfId="3" applyFont="1" applyFill="1" applyBorder="1" applyAlignment="1">
      <alignment horizontal="left" wrapText="1"/>
    </xf>
    <xf numFmtId="0" fontId="16" fillId="0" borderId="14" xfId="3" applyFont="1" applyBorder="1" applyAlignment="1">
      <alignment horizontal="left" wrapText="1"/>
    </xf>
    <xf numFmtId="0" fontId="16" fillId="0" borderId="6" xfId="5" applyFont="1" applyBorder="1" applyAlignment="1">
      <alignment horizontal="left" wrapText="1"/>
    </xf>
    <xf numFmtId="0" fontId="16" fillId="0" borderId="15" xfId="3" applyFont="1" applyBorder="1" applyAlignment="1">
      <alignment horizontal="left" wrapText="1"/>
    </xf>
    <xf numFmtId="0" fontId="21" fillId="7" borderId="17" xfId="3" applyFont="1" applyFill="1" applyBorder="1" applyAlignment="1">
      <alignment horizontal="left" wrapText="1"/>
    </xf>
    <xf numFmtId="0" fontId="21" fillId="7" borderId="18" xfId="3" applyFont="1" applyFill="1" applyBorder="1" applyAlignment="1">
      <alignment horizontal="left" wrapText="1"/>
    </xf>
    <xf numFmtId="0" fontId="22" fillId="6" borderId="1" xfId="2" applyFont="1" applyFill="1" applyBorder="1"/>
    <xf numFmtId="14" fontId="21" fillId="7" borderId="17" xfId="3" applyNumberFormat="1" applyFont="1" applyFill="1" applyBorder="1" applyAlignment="1">
      <alignment horizontal="left" wrapText="1"/>
    </xf>
    <xf numFmtId="0" fontId="6" fillId="0" borderId="0" xfId="2" applyFont="1" applyAlignment="1">
      <alignment horizontal="right"/>
    </xf>
    <xf numFmtId="165" fontId="0" fillId="0" borderId="1" xfId="0" applyNumberFormat="1" applyBorder="1">
      <alignment vertical="center"/>
    </xf>
    <xf numFmtId="0" fontId="26" fillId="0" borderId="1" xfId="0" applyFont="1" applyBorder="1">
      <alignment vertical="center"/>
    </xf>
    <xf numFmtId="43" fontId="7" fillId="8" borderId="1" xfId="0" applyNumberFormat="1" applyFont="1" applyFill="1" applyBorder="1">
      <alignment vertical="center"/>
    </xf>
    <xf numFmtId="0" fontId="7" fillId="0" borderId="1" xfId="0" applyFont="1" applyFill="1" applyBorder="1" applyAlignment="1">
      <alignment horizontal="left" vertical="center"/>
    </xf>
    <xf numFmtId="2" fontId="2" fillId="0" borderId="0" xfId="2" applyNumberFormat="1"/>
    <xf numFmtId="0" fontId="2" fillId="0" borderId="0" xfId="6"/>
    <xf numFmtId="0" fontId="8" fillId="0" borderId="0" xfId="6" applyFont="1"/>
    <xf numFmtId="0" fontId="9" fillId="3" borderId="31" xfId="6" applyFont="1" applyFill="1" applyBorder="1" applyAlignment="1">
      <alignment horizontal="left" vertical="center" wrapText="1"/>
    </xf>
    <xf numFmtId="0" fontId="9" fillId="3" borderId="0" xfId="6" applyFont="1" applyFill="1" applyAlignment="1">
      <alignment horizontal="left" vertical="center" wrapText="1"/>
    </xf>
    <xf numFmtId="0" fontId="9" fillId="3" borderId="0" xfId="7" applyFont="1" applyFill="1" applyAlignment="1">
      <alignment horizontal="right" vertical="center" wrapText="1"/>
    </xf>
    <xf numFmtId="0" fontId="9" fillId="3" borderId="2" xfId="6" applyFont="1" applyFill="1" applyBorder="1" applyAlignment="1">
      <alignment horizontal="right" vertical="center" wrapText="1"/>
    </xf>
    <xf numFmtId="0" fontId="9" fillId="0" borderId="0" xfId="6" applyFont="1"/>
    <xf numFmtId="0" fontId="27" fillId="9" borderId="0" xfId="8" applyFont="1" applyFill="1" applyAlignment="1">
      <alignment horizontal="center" vertical="center" wrapText="1"/>
    </xf>
    <xf numFmtId="0" fontId="9" fillId="9" borderId="3" xfId="8" applyFont="1" applyFill="1" applyBorder="1" applyAlignment="1">
      <alignment horizontal="left" vertical="center" wrapText="1"/>
    </xf>
    <xf numFmtId="164" fontId="9" fillId="9" borderId="0" xfId="8" applyNumberFormat="1" applyFont="1" applyFill="1" applyAlignment="1">
      <alignment horizontal="right" vertical="center" wrapText="1"/>
    </xf>
    <xf numFmtId="164" fontId="9" fillId="9" borderId="32" xfId="8" applyNumberFormat="1" applyFont="1" applyFill="1" applyBorder="1" applyAlignment="1">
      <alignment horizontal="right" vertical="center" wrapText="1"/>
    </xf>
    <xf numFmtId="164" fontId="9" fillId="9" borderId="33" xfId="8" applyNumberFormat="1" applyFont="1" applyFill="1" applyBorder="1" applyAlignment="1">
      <alignment horizontal="right" vertical="center" wrapText="1"/>
    </xf>
    <xf numFmtId="164" fontId="10" fillId="9" borderId="33" xfId="8" applyNumberFormat="1" applyFont="1" applyFill="1" applyBorder="1" applyAlignment="1">
      <alignment horizontal="right" vertical="center" wrapText="1"/>
    </xf>
    <xf numFmtId="164" fontId="11" fillId="9" borderId="2" xfId="8" applyNumberFormat="1" applyFont="1" applyFill="1" applyBorder="1" applyAlignment="1">
      <alignment horizontal="right" vertical="center" wrapText="1"/>
    </xf>
    <xf numFmtId="0" fontId="13" fillId="0" borderId="0" xfId="8" applyAlignment="1"/>
    <xf numFmtId="0" fontId="27" fillId="0" borderId="0" xfId="8" applyFont="1" applyAlignment="1">
      <alignment horizontal="center" vertical="center" wrapText="1"/>
    </xf>
    <xf numFmtId="0" fontId="9" fillId="0" borderId="3" xfId="8" applyFont="1" applyBorder="1" applyAlignment="1">
      <alignment horizontal="left" vertical="center" wrapText="1"/>
    </xf>
    <xf numFmtId="164" fontId="9" fillId="0" borderId="0" xfId="8" applyNumberFormat="1" applyFont="1" applyAlignment="1">
      <alignment horizontal="right" vertical="center" wrapText="1"/>
    </xf>
    <xf numFmtId="164" fontId="10" fillId="0" borderId="0" xfId="8" applyNumberFormat="1" applyFont="1" applyAlignment="1">
      <alignment horizontal="right" vertical="center" wrapText="1"/>
    </xf>
    <xf numFmtId="164" fontId="11" fillId="0" borderId="2" xfId="8" applyNumberFormat="1" applyFont="1" applyBorder="1" applyAlignment="1">
      <alignment horizontal="right" vertical="center" wrapText="1"/>
    </xf>
    <xf numFmtId="0" fontId="27" fillId="10" borderId="0" xfId="8" applyFont="1" applyFill="1" applyAlignment="1">
      <alignment horizontal="center" vertical="center" wrapText="1"/>
    </xf>
    <xf numFmtId="0" fontId="9" fillId="0" borderId="0" xfId="7" applyFont="1" applyAlignment="1">
      <alignment horizontal="left" vertical="center" wrapText="1"/>
    </xf>
    <xf numFmtId="4" fontId="9" fillId="9" borderId="4" xfId="6" applyNumberFormat="1" applyFont="1" applyFill="1" applyBorder="1" applyAlignment="1">
      <alignment horizontal="right" vertical="center" wrapText="1"/>
    </xf>
    <xf numFmtId="4" fontId="9" fillId="3" borderId="4" xfId="6" applyNumberFormat="1" applyFont="1" applyFill="1" applyBorder="1" applyAlignment="1">
      <alignment horizontal="right" vertical="center" wrapText="1"/>
    </xf>
    <xf numFmtId="4" fontId="28" fillId="3" borderId="4" xfId="6" applyNumberFormat="1" applyFont="1" applyFill="1" applyBorder="1" applyAlignment="1">
      <alignment horizontal="right" vertical="center" wrapText="1"/>
    </xf>
    <xf numFmtId="4" fontId="29" fillId="3" borderId="4" xfId="6" applyNumberFormat="1" applyFont="1" applyFill="1" applyBorder="1" applyAlignment="1">
      <alignment horizontal="right" vertical="center" wrapText="1"/>
    </xf>
    <xf numFmtId="4" fontId="11" fillId="9" borderId="2" xfId="8" applyNumberFormat="1" applyFont="1" applyFill="1" applyBorder="1" applyAlignment="1">
      <alignment horizontal="right" vertical="center" wrapText="1"/>
    </xf>
    <xf numFmtId="0" fontId="2" fillId="0" borderId="0" xfId="5"/>
    <xf numFmtId="0" fontId="12" fillId="0" borderId="0" xfId="9" applyFont="1" applyAlignment="1">
      <alignment horizontal="left" vertical="center" wrapText="1"/>
    </xf>
    <xf numFmtId="0" fontId="6" fillId="0" borderId="1" xfId="7" applyFont="1" applyBorder="1"/>
    <xf numFmtId="44" fontId="2" fillId="0" borderId="1" xfId="10" applyFont="1" applyBorder="1" applyAlignment="1"/>
    <xf numFmtId="44" fontId="2" fillId="0" borderId="0" xfId="10" applyFont="1" applyBorder="1" applyAlignment="1"/>
    <xf numFmtId="9" fontId="2" fillId="0" borderId="1" xfId="11" applyFont="1" applyBorder="1" applyAlignment="1"/>
    <xf numFmtId="9" fontId="2" fillId="0" borderId="0" xfId="11" applyFont="1" applyBorder="1" applyAlignment="1"/>
    <xf numFmtId="14" fontId="2" fillId="0" borderId="0" xfId="5" applyNumberFormat="1"/>
    <xf numFmtId="0" fontId="6" fillId="11" borderId="1" xfId="7" applyFont="1" applyFill="1" applyBorder="1"/>
    <xf numFmtId="44" fontId="2" fillId="0" borderId="1" xfId="10" applyFont="1" applyFill="1" applyBorder="1" applyAlignment="1"/>
    <xf numFmtId="44" fontId="2" fillId="0" borderId="0" xfId="10" applyFont="1" applyFill="1" applyBorder="1" applyAlignment="1"/>
    <xf numFmtId="0" fontId="7" fillId="0" borderId="4" xfId="0" applyFont="1" applyBorder="1" applyAlignment="1">
      <alignment horizontal="left" vertical="center"/>
    </xf>
    <xf numFmtId="0" fontId="25" fillId="0" borderId="27" xfId="3" applyFont="1" applyBorder="1" applyAlignment="1">
      <alignment horizontal="left" vertical="center" wrapText="1"/>
    </xf>
    <xf numFmtId="0" fontId="24" fillId="0" borderId="27" xfId="3" applyFont="1" applyBorder="1"/>
    <xf numFmtId="0" fontId="23" fillId="7" borderId="26" xfId="3" applyFont="1" applyFill="1" applyBorder="1" applyAlignment="1">
      <alignment horizontal="left" wrapText="1"/>
    </xf>
    <xf numFmtId="0" fontId="20" fillId="6" borderId="25" xfId="3" applyFont="1" applyFill="1" applyBorder="1"/>
    <xf numFmtId="0" fontId="20" fillId="6" borderId="24" xfId="3" applyFont="1" applyFill="1" applyBorder="1"/>
    <xf numFmtId="0" fontId="21" fillId="7" borderId="22" xfId="3" applyFont="1" applyFill="1" applyBorder="1" applyAlignment="1">
      <alignment horizontal="left" wrapText="1"/>
    </xf>
    <xf numFmtId="0" fontId="20" fillId="6" borderId="21" xfId="3" applyFont="1" applyFill="1" applyBorder="1"/>
    <xf numFmtId="0" fontId="20" fillId="6" borderId="20" xfId="3" applyFont="1" applyFill="1" applyBorder="1"/>
    <xf numFmtId="0" fontId="21" fillId="7" borderId="19" xfId="3" applyFont="1" applyFill="1" applyBorder="1" applyAlignment="1">
      <alignment horizontal="left" vertical="center" wrapText="1"/>
    </xf>
    <xf numFmtId="0" fontId="20" fillId="6" borderId="16" xfId="3" applyFont="1" applyFill="1" applyBorder="1"/>
    <xf numFmtId="0" fontId="5" fillId="6" borderId="23" xfId="2" applyFont="1" applyFill="1" applyBorder="1" applyAlignment="1">
      <alignment horizontal="center"/>
    </xf>
    <xf numFmtId="0" fontId="8" fillId="2" borderId="0" xfId="2" applyFont="1" applyFill="1" applyAlignment="1">
      <alignment horizontal="center" vertical="center" wrapText="1"/>
    </xf>
    <xf numFmtId="0" fontId="8" fillId="2" borderId="2" xfId="2" applyFont="1" applyFill="1" applyBorder="1" applyAlignment="1">
      <alignment horizontal="center" vertical="center" wrapText="1"/>
    </xf>
    <xf numFmtId="0" fontId="9" fillId="4" borderId="4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12" fillId="0" borderId="0" xfId="2" applyFont="1" applyAlignment="1">
      <alignment horizontal="left" vertical="center" wrapText="1"/>
    </xf>
    <xf numFmtId="0" fontId="8" fillId="2" borderId="28" xfId="6" applyFont="1" applyFill="1" applyBorder="1" applyAlignment="1">
      <alignment horizontal="center" vertical="center" wrapText="1"/>
    </xf>
    <xf numFmtId="0" fontId="8" fillId="2" borderId="29" xfId="6" applyFont="1" applyFill="1" applyBorder="1" applyAlignment="1">
      <alignment horizontal="center" vertical="center" wrapText="1"/>
    </xf>
    <xf numFmtId="0" fontId="8" fillId="2" borderId="30" xfId="6" applyFont="1" applyFill="1" applyBorder="1" applyAlignment="1">
      <alignment horizontal="center" vertical="center" wrapText="1"/>
    </xf>
    <xf numFmtId="0" fontId="12" fillId="0" borderId="29" xfId="9" applyFont="1" applyBorder="1" applyAlignment="1">
      <alignment horizontal="left" vertical="center" wrapText="1"/>
    </xf>
    <xf numFmtId="0" fontId="1" fillId="0" borderId="0" xfId="12" applyAlignment="1">
      <alignment horizontal="center"/>
    </xf>
    <xf numFmtId="0" fontId="1" fillId="0" borderId="0" xfId="12"/>
    <xf numFmtId="0" fontId="30" fillId="12" borderId="0" xfId="12" applyFont="1" applyFill="1" applyAlignment="1">
      <alignment horizontal="center" vertical="center" wrapText="1"/>
    </xf>
    <xf numFmtId="0" fontId="31" fillId="12" borderId="0" xfId="12" applyFont="1" applyFill="1" applyAlignment="1">
      <alignment horizontal="center" vertical="center" wrapText="1"/>
    </xf>
    <xf numFmtId="0" fontId="6" fillId="0" borderId="1" xfId="12" applyFont="1" applyBorder="1" applyAlignment="1">
      <alignment horizontal="left" vertical="center"/>
    </xf>
    <xf numFmtId="0" fontId="32" fillId="0" borderId="1" xfId="12" applyFont="1" applyBorder="1" applyAlignment="1">
      <alignment horizontal="left" vertical="center"/>
    </xf>
    <xf numFmtId="0" fontId="6" fillId="0" borderId="34" xfId="12" applyFont="1" applyBorder="1" applyAlignment="1">
      <alignment horizontal="left" vertical="center"/>
    </xf>
    <xf numFmtId="0" fontId="6" fillId="0" borderId="35" xfId="12" applyFont="1" applyBorder="1" applyAlignment="1">
      <alignment horizontal="left" vertical="center"/>
    </xf>
    <xf numFmtId="0" fontId="1" fillId="0" borderId="0" xfId="12" applyAlignment="1">
      <alignment vertical="center"/>
    </xf>
    <xf numFmtId="0" fontId="33" fillId="0" borderId="0" xfId="12" applyFont="1" applyAlignment="1">
      <alignment vertical="center"/>
    </xf>
    <xf numFmtId="0" fontId="6" fillId="0" borderId="0" xfId="12" applyFont="1" applyAlignment="1">
      <alignment horizontal="left" vertical="center"/>
    </xf>
    <xf numFmtId="0" fontId="33" fillId="0" borderId="0" xfId="12" applyFont="1" applyAlignment="1">
      <alignment horizontal="left" vertical="center"/>
    </xf>
    <xf numFmtId="0" fontId="33" fillId="0" borderId="0" xfId="12" applyFont="1" applyAlignment="1">
      <alignment horizontal="center" vertical="center"/>
    </xf>
    <xf numFmtId="14" fontId="32" fillId="0" borderId="34" xfId="12" applyNumberFormat="1" applyFont="1" applyBorder="1" applyAlignment="1">
      <alignment horizontal="left" vertical="center"/>
    </xf>
    <xf numFmtId="0" fontId="32" fillId="0" borderId="36" xfId="12" applyFont="1" applyBorder="1" applyAlignment="1">
      <alignment horizontal="left" vertical="center"/>
    </xf>
    <xf numFmtId="0" fontId="32" fillId="0" borderId="35" xfId="12" applyFont="1" applyBorder="1" applyAlignment="1">
      <alignment horizontal="left" vertical="center"/>
    </xf>
    <xf numFmtId="0" fontId="34" fillId="0" borderId="1" xfId="12" applyFont="1" applyBorder="1" applyAlignment="1">
      <alignment horizontal="center" vertical="center"/>
    </xf>
    <xf numFmtId="0" fontId="6" fillId="0" borderId="1" xfId="12" applyFont="1" applyBorder="1" applyAlignment="1">
      <alignment horizontal="left" vertical="center" wrapText="1"/>
    </xf>
    <xf numFmtId="166" fontId="32" fillId="0" borderId="34" xfId="12" applyNumberFormat="1" applyFont="1" applyBorder="1" applyAlignment="1">
      <alignment horizontal="left" vertical="center" wrapText="1"/>
    </xf>
    <xf numFmtId="14" fontId="32" fillId="0" borderId="36" xfId="12" applyNumberFormat="1" applyFont="1" applyBorder="1" applyAlignment="1">
      <alignment horizontal="left" vertical="center"/>
    </xf>
    <xf numFmtId="14" fontId="32" fillId="0" borderId="35" xfId="12" applyNumberFormat="1" applyFont="1" applyBorder="1" applyAlignment="1">
      <alignment horizontal="left" vertical="center"/>
    </xf>
    <xf numFmtId="0" fontId="33" fillId="0" borderId="0" xfId="12" applyFont="1"/>
    <xf numFmtId="0" fontId="33" fillId="0" borderId="0" xfId="12" applyFont="1" applyAlignment="1">
      <alignment horizontal="center"/>
    </xf>
    <xf numFmtId="0" fontId="1" fillId="10" borderId="0" xfId="12" applyFill="1" applyAlignment="1">
      <alignment horizontal="center"/>
    </xf>
    <xf numFmtId="0" fontId="1" fillId="0" borderId="0" xfId="12" applyAlignment="1">
      <alignment horizontal="center" wrapText="1"/>
    </xf>
    <xf numFmtId="0" fontId="1" fillId="0" borderId="0" xfId="12" applyAlignment="1">
      <alignment horizontal="left"/>
    </xf>
    <xf numFmtId="0" fontId="6" fillId="0" borderId="0" xfId="12" applyFont="1" applyAlignment="1">
      <alignment horizontal="center"/>
    </xf>
    <xf numFmtId="0" fontId="6" fillId="0" borderId="0" xfId="12" applyFont="1" applyAlignment="1">
      <alignment horizontal="center" vertical="center" wrapText="1"/>
    </xf>
    <xf numFmtId="0" fontId="1" fillId="0" borderId="0" xfId="12" applyAlignment="1">
      <alignment horizontal="center" vertical="center"/>
    </xf>
    <xf numFmtId="0" fontId="1" fillId="0" borderId="0" xfId="12" applyAlignment="1">
      <alignment horizontal="left" vertical="center" wrapText="1"/>
    </xf>
  </cellXfs>
  <cellStyles count="13">
    <cellStyle name="Comma" xfId="1" builtinId="3"/>
    <cellStyle name="Comma 2" xfId="4" xr:uid="{11D0FF0E-4BBA-4216-AE1C-DA766F24FD6C}"/>
    <cellStyle name="Currency 2" xfId="10" xr:uid="{704C2703-E7A1-428A-BE8E-8EB197AC9EB6}"/>
    <cellStyle name="Normal" xfId="0" builtinId="0" customBuiltin="1"/>
    <cellStyle name="Normal 11" xfId="6" xr:uid="{0C1BBD8D-9E0F-4DB6-99E6-6350F7EBA4AB}"/>
    <cellStyle name="Normal 2" xfId="2" xr:uid="{D1DB074B-4F3D-4645-B6BA-2A965FA4E2DA}"/>
    <cellStyle name="Normal 2 2" xfId="5" xr:uid="{DC15EA25-E308-441C-AFF3-5F8F41BCA718}"/>
    <cellStyle name="Normal 2 3" xfId="8" xr:uid="{C3AF9501-3940-4D1F-AEF3-DDA0D6C82F6B}"/>
    <cellStyle name="Normal 3" xfId="7" xr:uid="{F0E89EFF-AB19-4930-82E1-C4425D85A55B}"/>
    <cellStyle name="Normal 4" xfId="3" xr:uid="{2B5FEB3D-574B-4FF9-BDED-CE43A2114D7B}"/>
    <cellStyle name="Normal 5" xfId="12" xr:uid="{F0AA1F9F-4147-4E6A-B507-4159CA898AB3}"/>
    <cellStyle name="Normal 9" xfId="9" xr:uid="{C496DCA6-28B4-4DAF-936C-E4BD2D4F9069}"/>
    <cellStyle name="Percent 2" xfId="11" xr:uid="{0126B488-DB8A-47E5-8D5C-9E36B8CDDC81}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302900</xdr:rowOff>
    </xdr:from>
    <xdr:to>
      <xdr:col>5</xdr:col>
      <xdr:colOff>481149</xdr:colOff>
      <xdr:row>1</xdr:row>
      <xdr:rowOff>333518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D701C2-F7AE-447C-ACBC-D7D5E3B58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6771" y="302900"/>
          <a:ext cx="2783478" cy="6783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326571</xdr:colOff>
      <xdr:row>0</xdr:row>
      <xdr:rowOff>34139</xdr:rowOff>
    </xdr:from>
    <xdr:to>
      <xdr:col>5</xdr:col>
      <xdr:colOff>2000675</xdr:colOff>
      <xdr:row>27</xdr:row>
      <xdr:rowOff>47668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EB4281-76D7-7172-953F-629C0BF1D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367" y="34139"/>
          <a:ext cx="8461699" cy="4842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425876</xdr:colOff>
      <xdr:row>0</xdr:row>
      <xdr:rowOff>0</xdr:rowOff>
    </xdr:from>
    <xdr:to>
      <xdr:col>17</xdr:col>
      <xdr:colOff>460386</xdr:colOff>
      <xdr:row>27</xdr:row>
      <xdr:rowOff>138473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FBEAD6-7ADF-5606-F2E9-EDE563744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4790" y="0"/>
          <a:ext cx="9134967" cy="49880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84434264\Desktop\CODELA%20RI%20for%20Coupon.xlsx" TargetMode="External"/><Relationship Id="rId1" Type="http://schemas.openxmlformats.org/officeDocument/2006/relationships/externalLinkPath" Target="Cloud/Projects/DR/Public%20Cloud/CODELPA/SDT/Coupon/CODELA%20RI%20for%20Coup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scount"/>
      <sheetName val="RI (2)"/>
      <sheetName val="Cover"/>
      <sheetName val="Solution Introduction"/>
      <sheetName val="Disclaimer"/>
      <sheetName val="Summary"/>
      <sheetName val="Consolidation"/>
      <sheetName val="RI"/>
      <sheetName val="Network"/>
      <sheetName val="Backup"/>
      <sheetName val="Support Plan"/>
      <sheetName val="Price Calculator Summary (2)"/>
      <sheetName val="TEMPLATE"/>
      <sheetName val="tmp_v"/>
    </sheetNames>
    <sheetDataSet>
      <sheetData sheetId="0">
        <row r="13">
          <cell r="E13" t="str">
            <v/>
          </cell>
        </row>
      </sheetData>
      <sheetData sheetId="1"/>
      <sheetData sheetId="2"/>
      <sheetData sheetId="3"/>
      <sheetData sheetId="4"/>
      <sheetData sheetId="5">
        <row r="7">
          <cell r="C7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F5F7C-C20D-49F0-973B-72D577CE0E46}">
  <dimension ref="D1:N66"/>
  <sheetViews>
    <sheetView showGridLines="0" tabSelected="1" topLeftCell="A3" zoomScale="85" zoomScaleNormal="85" workbookViewId="0">
      <selection activeCell="N12" sqref="N12"/>
    </sheetView>
  </sheetViews>
  <sheetFormatPr defaultColWidth="8.42578125" defaultRowHeight="14.6"/>
  <cols>
    <col min="1" max="3" width="8.42578125" style="123"/>
    <col min="4" max="4" width="13.0703125" style="122" customWidth="1"/>
    <col min="5" max="5" width="17.140625" style="123" customWidth="1"/>
    <col min="6" max="6" width="9.140625" style="123" customWidth="1"/>
    <col min="7" max="7" width="10.2109375" style="123" customWidth="1"/>
    <col min="8" max="9" width="16.35546875" style="123" customWidth="1"/>
    <col min="10" max="10" width="12.5" style="123" customWidth="1"/>
    <col min="11" max="11" width="14.35546875" style="123" bestFit="1" customWidth="1"/>
    <col min="12" max="12" width="18.2109375" style="123" customWidth="1"/>
    <col min="13" max="13" width="14.35546875" style="123" customWidth="1"/>
    <col min="14" max="14" width="18.42578125" style="123" customWidth="1"/>
    <col min="15" max="16384" width="8.42578125" style="123"/>
  </cols>
  <sheetData>
    <row r="1" spans="4:13" ht="51" customHeight="1"/>
    <row r="2" spans="4:13" ht="40.299999999999997" customHeight="1"/>
    <row r="3" spans="4:13" ht="37.75" customHeight="1">
      <c r="D3" s="124" t="s">
        <v>240</v>
      </c>
      <c r="E3" s="125"/>
      <c r="F3" s="125"/>
      <c r="G3" s="125"/>
      <c r="H3" s="125"/>
      <c r="I3" s="125"/>
      <c r="J3" s="125"/>
      <c r="K3" s="125"/>
      <c r="L3" s="125"/>
      <c r="M3" s="125"/>
    </row>
    <row r="5" spans="4:13" s="130" customFormat="1" ht="25.3" customHeight="1">
      <c r="D5" s="126" t="s">
        <v>241</v>
      </c>
      <c r="E5" s="126"/>
      <c r="F5" s="127" t="s">
        <v>139</v>
      </c>
      <c r="G5" s="127"/>
      <c r="H5" s="127"/>
      <c r="I5" s="128" t="s">
        <v>242</v>
      </c>
      <c r="J5" s="129"/>
      <c r="K5" s="127" t="s">
        <v>243</v>
      </c>
      <c r="L5" s="127"/>
      <c r="M5" s="127"/>
    </row>
    <row r="6" spans="4:13" s="130" customFormat="1" ht="25.3" customHeight="1">
      <c r="F6" s="131"/>
      <c r="G6" s="131"/>
      <c r="H6" s="131"/>
      <c r="K6" s="131"/>
      <c r="L6" s="131"/>
      <c r="M6" s="131"/>
    </row>
    <row r="7" spans="4:13" s="130" customFormat="1" ht="25.3" customHeight="1">
      <c r="D7" s="126" t="s">
        <v>244</v>
      </c>
      <c r="E7" s="126"/>
      <c r="F7" s="127" t="s">
        <v>245</v>
      </c>
      <c r="G7" s="127"/>
      <c r="H7" s="127"/>
      <c r="I7" s="126" t="s">
        <v>246</v>
      </c>
      <c r="J7" s="126"/>
      <c r="K7" s="127" t="s">
        <v>247</v>
      </c>
      <c r="L7" s="127"/>
      <c r="M7" s="127"/>
    </row>
    <row r="8" spans="4:13" s="130" customFormat="1" ht="25.3" customHeight="1">
      <c r="D8" s="132"/>
      <c r="E8" s="132"/>
      <c r="F8" s="133"/>
      <c r="G8" s="133"/>
      <c r="H8" s="133"/>
      <c r="I8" s="132"/>
      <c r="J8" s="132"/>
      <c r="K8" s="134"/>
      <c r="L8" s="134"/>
      <c r="M8" s="134"/>
    </row>
    <row r="9" spans="4:13" s="130" customFormat="1" ht="25.3" customHeight="1">
      <c r="D9" s="126" t="s">
        <v>248</v>
      </c>
      <c r="E9" s="126"/>
      <c r="F9" s="127" t="s">
        <v>249</v>
      </c>
      <c r="G9" s="127"/>
      <c r="H9" s="127"/>
      <c r="I9" s="126" t="s">
        <v>250</v>
      </c>
      <c r="J9" s="126"/>
      <c r="K9" s="135" t="s">
        <v>251</v>
      </c>
      <c r="L9" s="136"/>
      <c r="M9" s="137"/>
    </row>
    <row r="10" spans="4:13" s="130" customFormat="1" ht="25.3" customHeight="1"/>
    <row r="11" spans="4:13" s="130" customFormat="1" ht="25.3" customHeight="1">
      <c r="D11" s="126" t="s">
        <v>252</v>
      </c>
      <c r="E11" s="126"/>
      <c r="F11" s="138" t="s">
        <v>253</v>
      </c>
      <c r="G11" s="138"/>
      <c r="H11" s="138"/>
      <c r="I11" s="139" t="s">
        <v>254</v>
      </c>
      <c r="J11" s="126"/>
      <c r="K11" s="138" t="s">
        <v>256</v>
      </c>
      <c r="L11" s="138"/>
      <c r="M11" s="138"/>
    </row>
    <row r="12" spans="4:13" s="130" customFormat="1" ht="25.3" customHeight="1"/>
    <row r="13" spans="4:13" s="130" customFormat="1" ht="106.3" customHeight="1">
      <c r="D13" s="139" t="s">
        <v>255</v>
      </c>
      <c r="E13" s="126"/>
      <c r="F13" s="140" t="s">
        <v>257</v>
      </c>
      <c r="G13" s="141"/>
      <c r="H13" s="141"/>
      <c r="I13" s="141"/>
      <c r="J13" s="141"/>
      <c r="K13" s="141"/>
      <c r="L13" s="141"/>
      <c r="M13" s="142"/>
    </row>
    <row r="14" spans="4:13" ht="23.5" customHeight="1">
      <c r="F14" s="143"/>
      <c r="G14" s="143"/>
      <c r="H14" s="143"/>
      <c r="I14" s="143"/>
      <c r="J14" s="143"/>
      <c r="K14" s="143"/>
      <c r="L14" s="143"/>
      <c r="M14" s="143"/>
    </row>
    <row r="15" spans="4:13" s="122" customFormat="1">
      <c r="F15" s="144"/>
      <c r="G15" s="144"/>
      <c r="H15" s="144"/>
      <c r="I15" s="144"/>
      <c r="J15" s="144"/>
      <c r="K15" s="144"/>
      <c r="L15" s="144"/>
      <c r="M15" s="144"/>
    </row>
    <row r="16" spans="4:13" s="122" customFormat="1"/>
    <row r="17" spans="5:14" s="122" customFormat="1"/>
    <row r="18" spans="5:14" s="122" customFormat="1"/>
    <row r="19" spans="5:14" s="122" customFormat="1"/>
    <row r="20" spans="5:14" s="122" customFormat="1"/>
    <row r="21" spans="5:14" s="122" customFormat="1">
      <c r="E21" s="145"/>
      <c r="F21" s="145"/>
      <c r="G21" s="145"/>
      <c r="H21" s="145"/>
      <c r="I21" s="145"/>
      <c r="J21" s="145"/>
      <c r="K21" s="145"/>
      <c r="L21" s="145"/>
      <c r="M21" s="145"/>
      <c r="N21" s="146"/>
    </row>
    <row r="22" spans="5:14" s="122" customFormat="1">
      <c r="E22" s="145"/>
      <c r="F22" s="145"/>
      <c r="G22" s="145"/>
      <c r="H22" s="145"/>
      <c r="I22" s="145"/>
      <c r="J22" s="145"/>
      <c r="K22" s="145"/>
      <c r="L22" s="145"/>
      <c r="M22" s="145"/>
      <c r="N22" s="146"/>
    </row>
    <row r="23" spans="5:14" s="122" customFormat="1">
      <c r="E23" s="145"/>
      <c r="F23" s="145"/>
      <c r="G23" s="145"/>
      <c r="H23" s="145"/>
      <c r="I23" s="145"/>
      <c r="J23" s="145"/>
      <c r="K23" s="145"/>
      <c r="L23" s="145"/>
      <c r="M23" s="145"/>
      <c r="N23" s="146"/>
    </row>
    <row r="24" spans="5:14" s="122" customFormat="1">
      <c r="N24" s="146"/>
    </row>
    <row r="25" spans="5:14" s="122" customFormat="1">
      <c r="N25" s="146"/>
    </row>
    <row r="26" spans="5:14" s="130" customFormat="1"/>
    <row r="27" spans="5:14" s="122" customFormat="1"/>
    <row r="28" spans="5:14" s="122" customFormat="1"/>
    <row r="30" spans="5:14">
      <c r="I30" s="147"/>
      <c r="J30" s="147"/>
    </row>
    <row r="34" spans="12:13" ht="28.75" customHeight="1">
      <c r="L34" s="148"/>
      <c r="M34" s="148"/>
    </row>
    <row r="35" spans="12:13">
      <c r="L35" s="148"/>
      <c r="M35" s="148"/>
    </row>
    <row r="36" spans="12:13">
      <c r="L36" s="148"/>
      <c r="M36" s="148"/>
    </row>
    <row r="37" spans="12:13">
      <c r="L37" s="122"/>
      <c r="M37" s="122"/>
    </row>
    <row r="38" spans="12:13">
      <c r="L38" s="122"/>
      <c r="M38" s="122"/>
    </row>
    <row r="39" spans="12:13">
      <c r="L39" s="122"/>
      <c r="M39" s="122"/>
    </row>
    <row r="40" spans="12:13">
      <c r="L40" s="122"/>
      <c r="M40" s="122"/>
    </row>
    <row r="41" spans="12:13">
      <c r="L41" s="122"/>
      <c r="M41" s="122"/>
    </row>
    <row r="42" spans="12:13">
      <c r="L42" s="122"/>
      <c r="M42" s="122"/>
    </row>
    <row r="53" spans="4:11">
      <c r="E53" s="122"/>
      <c r="F53" s="122"/>
      <c r="G53" s="122"/>
      <c r="H53" s="122"/>
      <c r="I53" s="122"/>
      <c r="J53" s="122"/>
      <c r="K53" s="122"/>
    </row>
    <row r="54" spans="4:11">
      <c r="E54" s="122"/>
      <c r="F54" s="122"/>
      <c r="G54" s="122"/>
      <c r="H54" s="122"/>
      <c r="I54" s="122"/>
      <c r="J54" s="122"/>
      <c r="K54" s="122"/>
    </row>
    <row r="56" spans="4:11" ht="38.5" customHeight="1"/>
    <row r="59" spans="4:11">
      <c r="D59" s="149"/>
      <c r="E59" s="150"/>
      <c r="F59" s="150"/>
      <c r="G59" s="150"/>
      <c r="H59" s="150"/>
      <c r="I59" s="150"/>
      <c r="J59" s="151"/>
      <c r="K59" s="151"/>
    </row>
    <row r="60" spans="4:11">
      <c r="D60" s="149"/>
      <c r="E60" s="150"/>
      <c r="F60" s="150"/>
      <c r="G60" s="150"/>
      <c r="H60" s="150"/>
      <c r="I60" s="150"/>
      <c r="J60" s="151"/>
      <c r="K60" s="151"/>
    </row>
    <row r="62" spans="4:11" ht="39.549999999999997" customHeight="1">
      <c r="D62" s="123"/>
    </row>
    <row r="63" spans="4:11" ht="39.549999999999997" customHeight="1">
      <c r="D63" s="123"/>
    </row>
    <row r="64" spans="4:11">
      <c r="D64" s="123"/>
    </row>
    <row r="65" spans="4:7">
      <c r="D65" s="150"/>
      <c r="E65" s="150"/>
      <c r="F65" s="150"/>
      <c r="G65" s="150"/>
    </row>
    <row r="66" spans="4:7">
      <c r="D66" s="150"/>
      <c r="E66" s="150"/>
      <c r="F66" s="150"/>
      <c r="G66" s="150"/>
    </row>
  </sheetData>
  <mergeCells count="19">
    <mergeCell ref="D13:E13"/>
    <mergeCell ref="F13:M13"/>
    <mergeCell ref="D9:E9"/>
    <mergeCell ref="F9:H9"/>
    <mergeCell ref="I9:J9"/>
    <mergeCell ref="K9:M9"/>
    <mergeCell ref="D11:E11"/>
    <mergeCell ref="F11:H11"/>
    <mergeCell ref="I11:J11"/>
    <mergeCell ref="K11:M11"/>
    <mergeCell ref="D3:M3"/>
    <mergeCell ref="D5:E5"/>
    <mergeCell ref="F5:H5"/>
    <mergeCell ref="I5:J5"/>
    <mergeCell ref="K5:M5"/>
    <mergeCell ref="D7:E7"/>
    <mergeCell ref="F7:H7"/>
    <mergeCell ref="I7:J7"/>
    <mergeCell ref="K7:M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58"/>
  <sheetViews>
    <sheetView topLeftCell="A42" zoomScaleNormal="100" workbookViewId="0">
      <selection activeCell="F58" sqref="F58"/>
    </sheetView>
  </sheetViews>
  <sheetFormatPr defaultRowHeight="14.15"/>
  <cols>
    <col min="3" max="3" width="35.7109375" customWidth="1"/>
    <col min="4" max="4" width="10.42578125" bestFit="1" customWidth="1"/>
    <col min="5" max="5" width="33.42578125" customWidth="1"/>
    <col min="6" max="6" width="31" bestFit="1" customWidth="1"/>
    <col min="8" max="8" width="15.0703125" customWidth="1"/>
    <col min="14" max="14" width="11.5" bestFit="1" customWidth="1"/>
    <col min="15" max="15" width="13" bestFit="1" customWidth="1"/>
    <col min="16" max="16" width="11.92578125" customWidth="1"/>
    <col min="17" max="17" width="13.0703125" bestFit="1" customWidth="1"/>
  </cols>
  <sheetData>
    <row r="2" spans="1:1">
      <c r="A2" s="1"/>
    </row>
    <row r="31" spans="3:16" ht="14.6" thickBot="1">
      <c r="C31" s="101" t="s">
        <v>187</v>
      </c>
      <c r="D31" s="101"/>
      <c r="E31" s="101"/>
      <c r="L31" s="2"/>
      <c r="N31" s="7" t="s">
        <v>194</v>
      </c>
      <c r="O31" s="7" t="s">
        <v>3</v>
      </c>
      <c r="P31" s="7" t="s">
        <v>1</v>
      </c>
    </row>
    <row r="32" spans="3:16">
      <c r="N32" s="4">
        <v>1</v>
      </c>
      <c r="O32" s="9">
        <v>269.61</v>
      </c>
      <c r="P32" s="5">
        <f>D35+O32</f>
        <v>1831.4499999999998</v>
      </c>
    </row>
    <row r="33" spans="1:17">
      <c r="C33" s="6" t="s">
        <v>0</v>
      </c>
      <c r="D33" s="4">
        <v>5000</v>
      </c>
      <c r="E33" s="32" t="s">
        <v>128</v>
      </c>
      <c r="N33" s="4">
        <v>2</v>
      </c>
      <c r="O33" s="9">
        <v>286.19</v>
      </c>
      <c r="P33" s="9">
        <f>O33+P32</f>
        <v>2117.64</v>
      </c>
    </row>
    <row r="34" spans="1:17">
      <c r="E34" s="33"/>
      <c r="N34" s="4">
        <v>3</v>
      </c>
      <c r="O34" s="9">
        <v>516.53</v>
      </c>
      <c r="P34" s="9">
        <f t="shared" ref="P34:P50" si="0">O34+P33</f>
        <v>2634.17</v>
      </c>
    </row>
    <row r="35" spans="1:17">
      <c r="A35" s="3"/>
      <c r="C35" s="6" t="s">
        <v>132</v>
      </c>
      <c r="D35" s="10">
        <v>1561.84</v>
      </c>
      <c r="E35" s="32" t="s">
        <v>129</v>
      </c>
      <c r="F35" s="3"/>
      <c r="N35" s="4">
        <v>4</v>
      </c>
      <c r="O35" s="9">
        <v>290.22000000000003</v>
      </c>
      <c r="P35" s="9">
        <f t="shared" si="0"/>
        <v>2924.3900000000003</v>
      </c>
    </row>
    <row r="36" spans="1:17">
      <c r="C36" s="6" t="s">
        <v>133</v>
      </c>
      <c r="D36" s="9">
        <v>6145.54</v>
      </c>
      <c r="E36" s="32" t="s">
        <v>129</v>
      </c>
      <c r="F36" s="3"/>
      <c r="N36" s="4">
        <v>5</v>
      </c>
      <c r="O36" s="9">
        <v>289.83999999999997</v>
      </c>
      <c r="P36" s="9">
        <f t="shared" si="0"/>
        <v>3214.2300000000005</v>
      </c>
    </row>
    <row r="37" spans="1:17">
      <c r="D37" s="3">
        <f>SUM(D35:D36)</f>
        <v>7707.38</v>
      </c>
      <c r="E37" s="34" t="s">
        <v>130</v>
      </c>
      <c r="N37" s="4">
        <v>6</v>
      </c>
      <c r="O37" s="9">
        <v>649.97</v>
      </c>
      <c r="P37" s="9">
        <f t="shared" si="0"/>
        <v>3864.2000000000007</v>
      </c>
    </row>
    <row r="38" spans="1:17">
      <c r="E38" s="33"/>
      <c r="N38" s="4">
        <v>7</v>
      </c>
      <c r="O38" s="9">
        <v>296.07</v>
      </c>
      <c r="P38" s="9">
        <f t="shared" si="0"/>
        <v>4160.2700000000004</v>
      </c>
    </row>
    <row r="39" spans="1:17" ht="21.45">
      <c r="C39" s="6" t="s">
        <v>4</v>
      </c>
      <c r="D39" s="5">
        <f>'Price Calculator - PPU'!C44</f>
        <v>9694.739999999998</v>
      </c>
      <c r="E39" s="31" t="s">
        <v>131</v>
      </c>
      <c r="N39" s="4">
        <v>8</v>
      </c>
      <c r="O39" s="9">
        <v>296.06</v>
      </c>
      <c r="P39" s="9">
        <f t="shared" si="0"/>
        <v>4456.3300000000008</v>
      </c>
    </row>
    <row r="40" spans="1:17">
      <c r="C40" s="29" t="s">
        <v>234</v>
      </c>
      <c r="D40" s="5">
        <f>D39+D35</f>
        <v>11256.579999999998</v>
      </c>
      <c r="E40" s="35"/>
      <c r="N40" s="4">
        <v>9</v>
      </c>
      <c r="O40" s="9">
        <v>296.08</v>
      </c>
      <c r="P40" s="9">
        <f t="shared" si="0"/>
        <v>4752.4100000000008</v>
      </c>
    </row>
    <row r="41" spans="1:17">
      <c r="E41" s="35"/>
      <c r="N41" s="4">
        <v>10</v>
      </c>
      <c r="O41" s="9">
        <v>295.81</v>
      </c>
      <c r="P41" s="9">
        <f t="shared" si="0"/>
        <v>5048.2200000000012</v>
      </c>
      <c r="Q41" t="s">
        <v>2</v>
      </c>
    </row>
    <row r="42" spans="1:17">
      <c r="C42" s="6" t="s">
        <v>235</v>
      </c>
      <c r="D42" s="30">
        <f>D40-D33</f>
        <v>6256.5799999999981</v>
      </c>
      <c r="E42" s="31" t="s">
        <v>196</v>
      </c>
      <c r="N42" s="4">
        <v>11</v>
      </c>
      <c r="O42" s="9">
        <v>295.47000000000003</v>
      </c>
      <c r="P42" s="9">
        <f t="shared" si="0"/>
        <v>5343.6900000000014</v>
      </c>
    </row>
    <row r="43" spans="1:17">
      <c r="N43" s="4">
        <v>12</v>
      </c>
      <c r="O43" s="9">
        <v>295.48</v>
      </c>
      <c r="P43" s="9">
        <f t="shared" si="0"/>
        <v>5639.1700000000019</v>
      </c>
      <c r="Q43" s="3"/>
    </row>
    <row r="44" spans="1:17">
      <c r="N44" s="4">
        <v>13</v>
      </c>
      <c r="O44" s="9">
        <v>295.47000000000003</v>
      </c>
      <c r="P44" s="9">
        <f>O44+P43</f>
        <v>5934.6400000000021</v>
      </c>
      <c r="Q44" s="3">
        <f>P45*0.8</f>
        <v>4984.0800000000017</v>
      </c>
    </row>
    <row r="45" spans="1:17" ht="14.6" thickBot="1">
      <c r="C45" s="101" t="s">
        <v>195</v>
      </c>
      <c r="D45" s="101"/>
      <c r="E45" s="101"/>
      <c r="N45" s="4">
        <v>14</v>
      </c>
      <c r="O45" s="9">
        <v>295.45999999999998</v>
      </c>
      <c r="P45" s="9">
        <f t="shared" si="0"/>
        <v>6230.1000000000022</v>
      </c>
    </row>
    <row r="46" spans="1:17">
      <c r="N46" s="4">
        <v>15</v>
      </c>
      <c r="O46" s="9">
        <v>295.45999999999998</v>
      </c>
      <c r="P46" s="9">
        <f t="shared" si="0"/>
        <v>6525.5600000000022</v>
      </c>
    </row>
    <row r="47" spans="1:17">
      <c r="C47" s="6" t="s">
        <v>0</v>
      </c>
      <c r="D47" s="5">
        <v>5000</v>
      </c>
      <c r="N47" s="4">
        <v>16</v>
      </c>
      <c r="O47" s="9">
        <v>295.45</v>
      </c>
      <c r="P47" s="9">
        <f t="shared" si="0"/>
        <v>6821.010000000002</v>
      </c>
    </row>
    <row r="48" spans="1:17">
      <c r="N48" s="4">
        <v>17</v>
      </c>
      <c r="O48" s="9">
        <v>295.45</v>
      </c>
      <c r="P48" s="9">
        <f t="shared" si="0"/>
        <v>7116.4600000000019</v>
      </c>
    </row>
    <row r="49" spans="3:16">
      <c r="C49" s="6" t="s">
        <v>186</v>
      </c>
      <c r="D49" s="5">
        <f>'Price Calculator - PPU'!C48</f>
        <v>410.43666666666667</v>
      </c>
      <c r="E49" s="31" t="s">
        <v>236</v>
      </c>
      <c r="N49" s="4">
        <v>18</v>
      </c>
      <c r="O49" s="9">
        <v>295.42</v>
      </c>
      <c r="P49" s="9">
        <f t="shared" si="0"/>
        <v>7411.8800000000019</v>
      </c>
    </row>
    <row r="50" spans="3:16">
      <c r="C50" s="6" t="s">
        <v>186</v>
      </c>
      <c r="D50" s="5">
        <f>'Price Calculator - RI'!C52</f>
        <v>241.460537037037</v>
      </c>
      <c r="E50" s="31" t="s">
        <v>237</v>
      </c>
      <c r="N50" s="4">
        <v>19</v>
      </c>
      <c r="O50" s="9">
        <v>295.64999999999998</v>
      </c>
      <c r="P50" s="9">
        <f t="shared" si="0"/>
        <v>7707.5300000000016</v>
      </c>
    </row>
    <row r="52" spans="3:16">
      <c r="C52" s="29" t="s">
        <v>238</v>
      </c>
      <c r="D52" s="9">
        <f>D49*G54</f>
        <v>6156.55</v>
      </c>
      <c r="F52" s="6" t="s">
        <v>188</v>
      </c>
      <c r="G52" s="58">
        <f>DAY('CODELPA Migration Plan'!G28)</f>
        <v>10</v>
      </c>
      <c r="H52" s="31" t="s">
        <v>193</v>
      </c>
    </row>
    <row r="53" spans="3:16">
      <c r="C53" s="29" t="s">
        <v>239</v>
      </c>
      <c r="D53" s="5">
        <f>D50*G54</f>
        <v>3621.9080555555552</v>
      </c>
      <c r="F53" s="6" t="s">
        <v>189</v>
      </c>
      <c r="G53" s="58">
        <v>5</v>
      </c>
    </row>
    <row r="54" spans="3:16">
      <c r="D54" s="2">
        <f>SUM(D52:D53)</f>
        <v>9778.4580555555549</v>
      </c>
      <c r="F54" s="61" t="s">
        <v>190</v>
      </c>
      <c r="G54" s="58">
        <f>SUM(G52:G53)</f>
        <v>15</v>
      </c>
    </row>
    <row r="56" spans="3:16">
      <c r="C56" s="29" t="s">
        <v>191</v>
      </c>
      <c r="D56" s="8">
        <f>D52+D53-D47</f>
        <v>4778.4580555555549</v>
      </c>
    </row>
    <row r="58" spans="3:16">
      <c r="C58" s="59" t="s">
        <v>192</v>
      </c>
      <c r="D58" s="60">
        <f>SUM(D56,D42)</f>
        <v>11035.038055555553</v>
      </c>
    </row>
  </sheetData>
  <mergeCells count="2">
    <mergeCell ref="C31:E31"/>
    <mergeCell ref="C45:E45"/>
  </mergeCells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C396B-5AB8-436E-8EE1-E5A8C21B9E8A}">
  <dimension ref="A1:Y990"/>
  <sheetViews>
    <sheetView showGridLines="0" topLeftCell="A3" zoomScale="70" zoomScaleNormal="70" workbookViewId="0">
      <selection activeCell="G37" sqref="G37"/>
    </sheetView>
  </sheetViews>
  <sheetFormatPr defaultColWidth="11.7109375" defaultRowHeight="15" customHeight="1"/>
  <cols>
    <col min="1" max="2" width="8.0703125" style="36" customWidth="1"/>
    <col min="3" max="3" width="6.28515625" style="36" customWidth="1"/>
    <col min="4" max="4" width="57.640625" style="36" customWidth="1"/>
    <col min="5" max="5" width="8.640625" style="36" customWidth="1"/>
    <col min="6" max="6" width="14.78515625" style="36" customWidth="1"/>
    <col min="7" max="7" width="12.140625" style="36" customWidth="1"/>
    <col min="8" max="8" width="36.78515625" style="36" customWidth="1"/>
    <col min="9" max="11" width="8" style="36" customWidth="1"/>
    <col min="12" max="12" width="14.28515625" style="36" customWidth="1"/>
    <col min="13" max="13" width="8" style="36" customWidth="1"/>
    <col min="14" max="14" width="21.35546875" style="36" customWidth="1"/>
    <col min="15" max="25" width="8" style="36" customWidth="1"/>
    <col min="26" max="16384" width="11.7109375" style="36"/>
  </cols>
  <sheetData>
    <row r="1" spans="1:25" ht="14.25" customHeight="1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 spans="1:25" ht="14.25" customHeight="1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</row>
    <row r="3" spans="1:25" ht="51" customHeight="1" thickBot="1">
      <c r="A3" s="37"/>
      <c r="B3" s="37"/>
      <c r="C3" s="102" t="s">
        <v>181</v>
      </c>
      <c r="D3" s="103"/>
      <c r="E3" s="103"/>
      <c r="F3" s="103"/>
      <c r="G3" s="103"/>
      <c r="H3" s="103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</row>
    <row r="4" spans="1:25" ht="14.25" customHeight="1">
      <c r="A4" s="37"/>
      <c r="B4" s="37"/>
      <c r="C4" s="104" t="s">
        <v>180</v>
      </c>
      <c r="D4" s="105"/>
      <c r="E4" s="105"/>
      <c r="F4" s="105"/>
      <c r="G4" s="105"/>
      <c r="H4" s="106"/>
      <c r="I4" s="37"/>
      <c r="J4" s="37"/>
      <c r="K4" s="112" t="s">
        <v>179</v>
      </c>
      <c r="L4" s="112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</row>
    <row r="5" spans="1:25" ht="14.25" customHeight="1">
      <c r="A5" s="37"/>
      <c r="B5" s="37"/>
      <c r="C5" s="107" t="str">
        <f>"General Progress: "&amp; ROUND(AVERAGE(E7,E16,E22,E29)*100,0) &amp; "%"</f>
        <v>General Progress: 61%</v>
      </c>
      <c r="D5" s="108"/>
      <c r="E5" s="109"/>
      <c r="F5" s="56" t="s">
        <v>178</v>
      </c>
      <c r="G5" s="56" t="s">
        <v>178</v>
      </c>
      <c r="H5" s="110" t="s">
        <v>177</v>
      </c>
      <c r="I5" s="37"/>
      <c r="J5" s="37"/>
      <c r="K5" s="55" t="s">
        <v>176</v>
      </c>
      <c r="L5" s="55" t="s">
        <v>175</v>
      </c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</row>
    <row r="6" spans="1:25" ht="14.25" customHeight="1" thickBot="1">
      <c r="A6" s="37"/>
      <c r="B6" s="37"/>
      <c r="C6" s="54" t="s">
        <v>174</v>
      </c>
      <c r="D6" s="53" t="s">
        <v>173</v>
      </c>
      <c r="E6" s="53" t="s">
        <v>172</v>
      </c>
      <c r="F6" s="53" t="s">
        <v>171</v>
      </c>
      <c r="G6" s="53" t="s">
        <v>170</v>
      </c>
      <c r="H6" s="111"/>
      <c r="I6" s="37"/>
      <c r="J6" s="37"/>
      <c r="K6" s="41">
        <v>1</v>
      </c>
      <c r="L6" s="40" t="s">
        <v>20</v>
      </c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</row>
    <row r="7" spans="1:25" ht="14.05" customHeight="1" thickBot="1">
      <c r="A7" s="37"/>
      <c r="B7" s="37"/>
      <c r="C7" s="49" t="s">
        <v>169</v>
      </c>
      <c r="D7" s="48" t="s">
        <v>168</v>
      </c>
      <c r="E7" s="44">
        <f>AVERAGE(E9:E11)</f>
        <v>1</v>
      </c>
      <c r="F7" s="47">
        <f>F9</f>
        <v>46051</v>
      </c>
      <c r="G7" s="47">
        <f>G11</f>
        <v>46052</v>
      </c>
      <c r="H7" s="46" t="s">
        <v>167</v>
      </c>
      <c r="I7" s="37"/>
      <c r="J7" s="37"/>
      <c r="K7" s="41">
        <v>2</v>
      </c>
      <c r="L7" s="40" t="s">
        <v>27</v>
      </c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</row>
    <row r="8" spans="1:25" ht="14.05" customHeight="1" thickBot="1">
      <c r="A8" s="37"/>
      <c r="B8" s="37"/>
      <c r="C8" s="45">
        <v>1.1000000000000001</v>
      </c>
      <c r="D8" s="38" t="s">
        <v>166</v>
      </c>
      <c r="E8" s="44">
        <v>1</v>
      </c>
      <c r="F8" s="43">
        <v>46044</v>
      </c>
      <c r="G8" s="43">
        <v>46044</v>
      </c>
      <c r="H8" s="42" t="s">
        <v>136</v>
      </c>
      <c r="I8" s="37"/>
      <c r="J8" s="37"/>
      <c r="K8" s="41">
        <v>3</v>
      </c>
      <c r="L8" s="40" t="s">
        <v>30</v>
      </c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</row>
    <row r="9" spans="1:25" ht="14.05" customHeight="1" thickBot="1">
      <c r="A9" s="37"/>
      <c r="B9" s="37"/>
      <c r="C9" s="45">
        <v>1.2</v>
      </c>
      <c r="D9" s="38" t="s">
        <v>165</v>
      </c>
      <c r="E9" s="44">
        <v>1</v>
      </c>
      <c r="F9" s="43">
        <v>46051</v>
      </c>
      <c r="G9" s="43">
        <v>46051</v>
      </c>
      <c r="H9" s="42" t="s">
        <v>136</v>
      </c>
      <c r="I9" s="37"/>
      <c r="J9" s="37"/>
      <c r="K9" s="41">
        <v>4</v>
      </c>
      <c r="L9" s="40" t="s">
        <v>36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 spans="1:25" ht="14.25" customHeight="1" thickBot="1">
      <c r="A10" s="37"/>
      <c r="B10" s="37"/>
      <c r="C10" s="45">
        <v>1.3</v>
      </c>
      <c r="D10" s="38" t="s">
        <v>164</v>
      </c>
      <c r="E10" s="44">
        <v>1</v>
      </c>
      <c r="F10" s="43">
        <v>46051</v>
      </c>
      <c r="G10" s="43">
        <v>46051</v>
      </c>
      <c r="H10" s="42" t="s">
        <v>136</v>
      </c>
      <c r="I10" s="37"/>
      <c r="J10" s="37"/>
      <c r="K10" s="41">
        <v>5</v>
      </c>
      <c r="L10" s="40" t="s">
        <v>39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</row>
    <row r="11" spans="1:25" ht="14.25" customHeight="1" thickBot="1">
      <c r="A11" s="37"/>
      <c r="B11" s="37"/>
      <c r="C11" s="45">
        <v>1.4</v>
      </c>
      <c r="D11" s="38" t="s">
        <v>163</v>
      </c>
      <c r="E11" s="44">
        <v>1</v>
      </c>
      <c r="F11" s="43">
        <v>46052</v>
      </c>
      <c r="G11" s="43">
        <v>46052</v>
      </c>
      <c r="H11" s="42" t="s">
        <v>139</v>
      </c>
      <c r="I11" s="37"/>
      <c r="J11" s="37"/>
      <c r="K11" s="41">
        <v>6</v>
      </c>
      <c r="L11" s="40" t="s">
        <v>42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 spans="1:25" ht="14.25" customHeight="1" thickBot="1">
      <c r="A12" s="37"/>
      <c r="B12" s="37"/>
      <c r="C12" s="49" t="s">
        <v>162</v>
      </c>
      <c r="D12" s="48" t="s">
        <v>161</v>
      </c>
      <c r="E12" s="44">
        <f>AVERAGE(E13:E15)</f>
        <v>1</v>
      </c>
      <c r="F12" s="47">
        <f>F13</f>
        <v>46062</v>
      </c>
      <c r="G12" s="47">
        <f>G15</f>
        <v>46065</v>
      </c>
      <c r="H12" s="46"/>
      <c r="I12" s="37"/>
      <c r="J12" s="37"/>
      <c r="K12" s="41">
        <v>7</v>
      </c>
      <c r="L12" s="40" t="s">
        <v>45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 spans="1:25" ht="14.25" customHeight="1" thickBot="1">
      <c r="A13" s="37"/>
      <c r="B13" s="37"/>
      <c r="C13" s="45" t="s">
        <v>160</v>
      </c>
      <c r="D13" s="38" t="s">
        <v>159</v>
      </c>
      <c r="E13" s="44">
        <v>1</v>
      </c>
      <c r="F13" s="43">
        <v>46062</v>
      </c>
      <c r="G13" s="43">
        <v>46065</v>
      </c>
      <c r="H13" s="52" t="s">
        <v>156</v>
      </c>
      <c r="I13" s="37"/>
      <c r="J13" s="37"/>
      <c r="K13" s="41">
        <v>8</v>
      </c>
      <c r="L13" s="40" t="s">
        <v>48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 spans="1:25" ht="14.25" customHeight="1" thickBot="1">
      <c r="A14" s="37"/>
      <c r="B14" s="37"/>
      <c r="C14" s="45">
        <v>2.2000000000000002</v>
      </c>
      <c r="D14" s="38" t="s">
        <v>158</v>
      </c>
      <c r="E14" s="44">
        <v>1</v>
      </c>
      <c r="F14" s="43">
        <v>46065</v>
      </c>
      <c r="G14" s="43">
        <v>46065</v>
      </c>
      <c r="H14" s="52" t="s">
        <v>156</v>
      </c>
      <c r="I14" s="37"/>
      <c r="J14" s="37"/>
      <c r="K14" s="41">
        <v>9</v>
      </c>
      <c r="L14" s="40" t="s">
        <v>51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 spans="1:25" ht="14.25" customHeight="1" thickBot="1">
      <c r="A15" s="37"/>
      <c r="B15" s="37"/>
      <c r="C15" s="45">
        <v>2.2999999999999998</v>
      </c>
      <c r="D15" s="50" t="s">
        <v>157</v>
      </c>
      <c r="E15" s="44">
        <v>1</v>
      </c>
      <c r="F15" s="43">
        <v>46062</v>
      </c>
      <c r="G15" s="43">
        <v>46065</v>
      </c>
      <c r="H15" s="52" t="s">
        <v>156</v>
      </c>
      <c r="I15" s="37"/>
      <c r="J15" s="37"/>
      <c r="K15" s="41">
        <v>10</v>
      </c>
      <c r="L15" s="40" t="s">
        <v>54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 spans="1:25" ht="14.05" customHeight="1" thickBot="1">
      <c r="A16" s="37"/>
      <c r="B16" s="37"/>
      <c r="C16" s="49">
        <v>3</v>
      </c>
      <c r="D16" s="48" t="s">
        <v>155</v>
      </c>
      <c r="E16" s="44">
        <f>AVERAGE(E17:E21)</f>
        <v>1</v>
      </c>
      <c r="F16" s="47">
        <f>F17</f>
        <v>46065</v>
      </c>
      <c r="G16" s="47">
        <f>G17</f>
        <v>46066</v>
      </c>
      <c r="H16" s="46"/>
      <c r="I16" s="37"/>
      <c r="J16" s="37"/>
      <c r="K16" s="41">
        <v>11</v>
      </c>
      <c r="L16" s="40" t="s">
        <v>73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 spans="1:25" ht="14.25" customHeight="1" thickBot="1">
      <c r="A17" s="37"/>
      <c r="B17" s="37"/>
      <c r="C17" s="45">
        <v>3.1</v>
      </c>
      <c r="D17" s="38" t="s">
        <v>154</v>
      </c>
      <c r="E17" s="44">
        <v>1</v>
      </c>
      <c r="F17" s="43">
        <v>46065</v>
      </c>
      <c r="G17" s="43">
        <v>46066</v>
      </c>
      <c r="H17" s="42" t="s">
        <v>136</v>
      </c>
      <c r="I17" s="37"/>
      <c r="J17" s="37"/>
      <c r="K17" s="41">
        <v>12</v>
      </c>
      <c r="L17" s="40" t="s">
        <v>76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 spans="1:25" ht="14.25" customHeight="1" thickBot="1">
      <c r="A18" s="37"/>
      <c r="B18" s="37"/>
      <c r="C18" s="45">
        <v>3.2</v>
      </c>
      <c r="D18" s="38" t="s">
        <v>153</v>
      </c>
      <c r="E18" s="44">
        <v>1</v>
      </c>
      <c r="F18" s="43">
        <v>46069</v>
      </c>
      <c r="G18" s="43">
        <v>46070</v>
      </c>
      <c r="H18" s="42" t="s">
        <v>136</v>
      </c>
      <c r="I18" s="37"/>
      <c r="J18" s="37"/>
      <c r="K18" s="41">
        <v>13</v>
      </c>
      <c r="L18" s="40" t="s">
        <v>79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 spans="1:25" ht="14.25" customHeight="1" thickBot="1">
      <c r="A19" s="37"/>
      <c r="B19" s="37"/>
      <c r="C19" s="45">
        <v>3.3</v>
      </c>
      <c r="D19" s="38" t="s">
        <v>152</v>
      </c>
      <c r="E19" s="44">
        <v>1</v>
      </c>
      <c r="F19" s="43">
        <v>46070</v>
      </c>
      <c r="G19" s="43">
        <v>46071</v>
      </c>
      <c r="H19" s="42" t="s">
        <v>136</v>
      </c>
      <c r="I19" s="37"/>
      <c r="J19" s="37"/>
      <c r="K19" s="41">
        <v>14</v>
      </c>
      <c r="L19" s="40" t="s">
        <v>82</v>
      </c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 spans="1:25" ht="14.25" customHeight="1" thickBot="1">
      <c r="A20" s="37"/>
      <c r="B20" s="37"/>
      <c r="C20" s="45">
        <v>3.4</v>
      </c>
      <c r="D20" s="38" t="s">
        <v>151</v>
      </c>
      <c r="E20" s="44">
        <v>1</v>
      </c>
      <c r="F20" s="43">
        <v>46072</v>
      </c>
      <c r="G20" s="43">
        <v>46073</v>
      </c>
      <c r="H20" s="42" t="s">
        <v>136</v>
      </c>
      <c r="I20" s="37"/>
      <c r="J20" s="37"/>
      <c r="K20" s="41">
        <v>15</v>
      </c>
      <c r="L20" s="40" t="s">
        <v>85</v>
      </c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</row>
    <row r="21" spans="1:25" ht="14.25" customHeight="1" thickBot="1">
      <c r="A21" s="37"/>
      <c r="B21" s="37"/>
      <c r="C21" s="45">
        <v>3.5</v>
      </c>
      <c r="D21" s="38" t="s">
        <v>150</v>
      </c>
      <c r="E21" s="44">
        <v>1</v>
      </c>
      <c r="F21" s="43">
        <v>46073</v>
      </c>
      <c r="G21" s="43">
        <v>46076</v>
      </c>
      <c r="H21" s="42" t="s">
        <v>136</v>
      </c>
      <c r="I21" s="37"/>
      <c r="J21" s="37"/>
      <c r="K21" s="41">
        <v>16</v>
      </c>
      <c r="L21" s="40" t="s">
        <v>94</v>
      </c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 spans="1:25" ht="14.25" customHeight="1" thickBot="1">
      <c r="A22" s="37"/>
      <c r="B22" s="37"/>
      <c r="C22" s="49">
        <v>4</v>
      </c>
      <c r="D22" s="48" t="s">
        <v>149</v>
      </c>
      <c r="E22" s="44">
        <f>AVERAGE(E23:E28)</f>
        <v>0.45833333333333331</v>
      </c>
      <c r="F22" s="47">
        <f>F26</f>
        <v>46097</v>
      </c>
      <c r="G22" s="47">
        <f>G26</f>
        <v>46073</v>
      </c>
      <c r="H22" s="46"/>
      <c r="I22" s="37"/>
      <c r="J22" s="37"/>
      <c r="K22" s="41">
        <v>17</v>
      </c>
      <c r="L22" s="40" t="s">
        <v>97</v>
      </c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 spans="1:25" ht="14.25" customHeight="1" thickBot="1">
      <c r="A23" s="37"/>
      <c r="B23" s="37"/>
      <c r="C23" s="45">
        <v>4.0999999999999996</v>
      </c>
      <c r="D23" s="51" t="s">
        <v>148</v>
      </c>
      <c r="E23" s="44">
        <v>1</v>
      </c>
      <c r="F23" s="43">
        <v>46077</v>
      </c>
      <c r="G23" s="43">
        <v>46082</v>
      </c>
      <c r="H23" s="42" t="s">
        <v>136</v>
      </c>
      <c r="I23" s="37"/>
      <c r="J23" s="37"/>
      <c r="K23" s="41">
        <v>18</v>
      </c>
      <c r="L23" s="40" t="s">
        <v>33</v>
      </c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</row>
    <row r="24" spans="1:25" ht="14.25" customHeight="1" thickBot="1">
      <c r="A24" s="37"/>
      <c r="B24" s="37"/>
      <c r="C24" s="45">
        <v>4.2</v>
      </c>
      <c r="D24" s="38" t="s">
        <v>147</v>
      </c>
      <c r="E24" s="44">
        <v>1</v>
      </c>
      <c r="F24" s="43">
        <v>46080</v>
      </c>
      <c r="G24" s="43">
        <v>46086</v>
      </c>
      <c r="H24" s="42" t="s">
        <v>136</v>
      </c>
      <c r="I24" s="37"/>
      <c r="J24" s="37"/>
      <c r="K24" s="41">
        <v>19</v>
      </c>
      <c r="L24" s="40" t="s">
        <v>88</v>
      </c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</row>
    <row r="25" spans="1:25" ht="14.25" customHeight="1" thickBot="1">
      <c r="A25" s="37"/>
      <c r="B25" s="37"/>
      <c r="C25" s="45">
        <v>4.3</v>
      </c>
      <c r="D25" s="51" t="s">
        <v>146</v>
      </c>
      <c r="E25" s="44">
        <v>0.75</v>
      </c>
      <c r="F25" s="43">
        <v>46082</v>
      </c>
      <c r="G25" s="43">
        <v>46094</v>
      </c>
      <c r="H25" s="42" t="s">
        <v>145</v>
      </c>
      <c r="I25" s="37"/>
      <c r="J25" s="37"/>
      <c r="K25" s="41">
        <v>20</v>
      </c>
      <c r="L25" s="40" t="s">
        <v>91</v>
      </c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</row>
    <row r="26" spans="1:25" ht="14.25" customHeight="1" thickBot="1">
      <c r="A26" s="37"/>
      <c r="B26" s="37"/>
      <c r="C26" s="45">
        <v>4.4000000000000004</v>
      </c>
      <c r="D26" s="38" t="s">
        <v>144</v>
      </c>
      <c r="E26" s="44">
        <v>0</v>
      </c>
      <c r="F26" s="43">
        <v>46097</v>
      </c>
      <c r="G26" s="43">
        <v>46073</v>
      </c>
      <c r="H26" s="42" t="s">
        <v>136</v>
      </c>
      <c r="I26" s="37"/>
      <c r="J26" s="37"/>
      <c r="K26" s="41">
        <v>21</v>
      </c>
      <c r="L26" s="40" t="s">
        <v>143</v>
      </c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</row>
    <row r="27" spans="1:25" ht="14.25" customHeight="1" thickBot="1">
      <c r="A27" s="37"/>
      <c r="B27" s="37"/>
      <c r="C27" s="45">
        <v>4.5</v>
      </c>
      <c r="D27" s="38" t="s">
        <v>142</v>
      </c>
      <c r="E27" s="44">
        <v>0</v>
      </c>
      <c r="F27" s="43">
        <v>46114</v>
      </c>
      <c r="G27" s="43">
        <v>46117</v>
      </c>
      <c r="H27" s="42" t="s">
        <v>136</v>
      </c>
      <c r="I27" s="37"/>
      <c r="J27" s="37"/>
      <c r="K27" s="41">
        <v>22</v>
      </c>
      <c r="L27" s="40" t="s">
        <v>57</v>
      </c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</row>
    <row r="28" spans="1:25" ht="14.25" customHeight="1" thickBot="1">
      <c r="A28" s="37"/>
      <c r="B28" s="37"/>
      <c r="C28" s="45">
        <v>4.5999999999999996</v>
      </c>
      <c r="D28" s="50" t="s">
        <v>182</v>
      </c>
      <c r="E28" s="44">
        <v>0</v>
      </c>
      <c r="F28" s="43">
        <v>46117</v>
      </c>
      <c r="G28" s="43">
        <v>46122</v>
      </c>
      <c r="H28" s="42" t="s">
        <v>136</v>
      </c>
      <c r="I28" s="37"/>
      <c r="J28" s="37"/>
      <c r="K28" s="41">
        <v>23</v>
      </c>
      <c r="L28" s="40" t="s">
        <v>60</v>
      </c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</row>
    <row r="29" spans="1:25" ht="14.25" customHeight="1" thickBot="1">
      <c r="A29" s="37"/>
      <c r="B29" s="37"/>
      <c r="C29" s="49">
        <v>5</v>
      </c>
      <c r="D29" s="48" t="s">
        <v>141</v>
      </c>
      <c r="E29" s="44">
        <v>0</v>
      </c>
      <c r="F29" s="47">
        <f>F30</f>
        <v>46143</v>
      </c>
      <c r="G29" s="47">
        <f>G32</f>
        <v>46151</v>
      </c>
      <c r="H29" s="46"/>
      <c r="I29" s="37"/>
      <c r="J29" s="37"/>
      <c r="K29" s="41">
        <v>24</v>
      </c>
      <c r="L29" s="40" t="s">
        <v>63</v>
      </c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</row>
    <row r="30" spans="1:25" ht="14.25" customHeight="1" thickBot="1">
      <c r="A30" s="37"/>
      <c r="B30" s="37"/>
      <c r="C30" s="45">
        <v>5.0999999999999996</v>
      </c>
      <c r="D30" s="38" t="s">
        <v>140</v>
      </c>
      <c r="E30" s="44">
        <v>0</v>
      </c>
      <c r="F30" s="43">
        <v>46143</v>
      </c>
      <c r="G30" s="43">
        <v>46145</v>
      </c>
      <c r="H30" s="42" t="s">
        <v>139</v>
      </c>
      <c r="I30" s="37"/>
      <c r="J30" s="37"/>
      <c r="K30" s="41">
        <v>25</v>
      </c>
      <c r="L30" s="40" t="s">
        <v>65</v>
      </c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</row>
    <row r="31" spans="1:25" ht="14.25" customHeight="1" thickBot="1">
      <c r="A31" s="37"/>
      <c r="B31" s="37"/>
      <c r="C31" s="45">
        <v>5.2</v>
      </c>
      <c r="D31" s="38" t="s">
        <v>138</v>
      </c>
      <c r="E31" s="44">
        <v>0</v>
      </c>
      <c r="F31" s="43">
        <v>46148</v>
      </c>
      <c r="G31" s="43">
        <v>46149</v>
      </c>
      <c r="H31" s="42" t="s">
        <v>136</v>
      </c>
      <c r="I31" s="37"/>
      <c r="J31" s="37"/>
      <c r="K31" s="41">
        <v>26</v>
      </c>
      <c r="L31" s="40" t="s">
        <v>68</v>
      </c>
      <c r="Q31" s="37"/>
      <c r="R31" s="37"/>
      <c r="S31" s="37"/>
      <c r="T31" s="37"/>
      <c r="U31" s="37"/>
      <c r="V31" s="37"/>
      <c r="W31" s="37"/>
      <c r="X31" s="37"/>
      <c r="Y31" s="37"/>
    </row>
    <row r="32" spans="1:25" ht="14.15" customHeight="1" thickBot="1">
      <c r="A32" s="37"/>
      <c r="B32" s="37"/>
      <c r="C32" s="45">
        <v>5.3</v>
      </c>
      <c r="D32" s="38" t="s">
        <v>137</v>
      </c>
      <c r="E32" s="44">
        <v>0</v>
      </c>
      <c r="F32" s="43">
        <v>46150</v>
      </c>
      <c r="G32" s="43">
        <v>46151</v>
      </c>
      <c r="H32" s="42" t="s">
        <v>136</v>
      </c>
      <c r="I32" s="37"/>
      <c r="J32" s="37"/>
      <c r="K32" s="41">
        <v>27</v>
      </c>
      <c r="L32" s="40" t="s">
        <v>71</v>
      </c>
      <c r="Q32" s="37"/>
      <c r="R32" s="37"/>
      <c r="S32" s="37"/>
      <c r="T32" s="37"/>
      <c r="U32" s="37"/>
      <c r="V32" s="37"/>
      <c r="W32" s="37"/>
      <c r="X32" s="37"/>
      <c r="Y32" s="37"/>
    </row>
    <row r="33" spans="1:25" ht="14.25" customHeight="1">
      <c r="A33" s="37"/>
      <c r="B33" s="37"/>
      <c r="C33" s="45">
        <v>5.4</v>
      </c>
      <c r="D33" s="38" t="s">
        <v>183</v>
      </c>
      <c r="E33" s="44">
        <v>0</v>
      </c>
      <c r="F33" s="43">
        <v>46152</v>
      </c>
      <c r="G33" s="43">
        <v>46152</v>
      </c>
      <c r="H33" s="42" t="s">
        <v>136</v>
      </c>
      <c r="I33" s="37"/>
      <c r="J33" s="37"/>
      <c r="K33" s="41">
        <v>28</v>
      </c>
      <c r="L33" s="40" t="s">
        <v>135</v>
      </c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</row>
    <row r="34" spans="1:25" ht="14.2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</row>
    <row r="35" spans="1:25" ht="14.25" customHeight="1" thickBo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</row>
    <row r="36" spans="1:25" ht="14.25" customHeight="1">
      <c r="A36" s="37"/>
      <c r="B36" s="37"/>
      <c r="C36" s="37"/>
      <c r="D36" s="37"/>
      <c r="E36" s="37"/>
      <c r="F36" s="39" t="s">
        <v>134</v>
      </c>
      <c r="G36" s="38">
        <f>G33-F26</f>
        <v>55</v>
      </c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</row>
    <row r="37" spans="1:25" ht="14.2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</row>
    <row r="38" spans="1:25" ht="14.2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</row>
    <row r="39" spans="1:25" ht="14.2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 spans="1:25" ht="14.2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</row>
    <row r="41" spans="1:25" ht="14.2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</row>
    <row r="42" spans="1:25" ht="14.2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</row>
    <row r="43" spans="1:25" ht="14.2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</row>
    <row r="44" spans="1:25" ht="14.2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</row>
    <row r="45" spans="1:25" ht="14.2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</row>
    <row r="46" spans="1:25" ht="14.2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</row>
    <row r="47" spans="1:25" ht="14.2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</row>
    <row r="48" spans="1:25" ht="14.2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</row>
    <row r="49" spans="1:25" ht="14.2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</row>
    <row r="50" spans="1:25" ht="14.2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</row>
    <row r="51" spans="1:25" ht="14.2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</row>
    <row r="52" spans="1:25" ht="14.2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</row>
    <row r="53" spans="1:25" ht="14.2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</row>
    <row r="54" spans="1:25" ht="14.2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</row>
    <row r="55" spans="1:25" ht="14.2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</row>
    <row r="56" spans="1:25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</row>
    <row r="57" spans="1:25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</row>
    <row r="58" spans="1:25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</row>
    <row r="59" spans="1:25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</row>
    <row r="60" spans="1:25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</row>
    <row r="61" spans="1:25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</row>
    <row r="62" spans="1:25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</row>
    <row r="63" spans="1:25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</row>
    <row r="65" spans="1:25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</row>
    <row r="66" spans="1:25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</row>
    <row r="67" spans="1:25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</row>
    <row r="68" spans="1:25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</row>
    <row r="69" spans="1:25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</row>
    <row r="70" spans="1:25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</row>
    <row r="71" spans="1:25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</row>
    <row r="72" spans="1:25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</row>
    <row r="73" spans="1:25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</row>
    <row r="74" spans="1:25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</row>
    <row r="75" spans="1:25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</row>
    <row r="76" spans="1:25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</row>
    <row r="77" spans="1:25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</row>
    <row r="78" spans="1:25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</row>
    <row r="79" spans="1:25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</row>
    <row r="80" spans="1:25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</row>
    <row r="81" spans="1:25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</row>
    <row r="82" spans="1:25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</row>
    <row r="83" spans="1:25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</row>
    <row r="84" spans="1:25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</row>
    <row r="85" spans="1:25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</row>
    <row r="86" spans="1:25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</row>
    <row r="87" spans="1:25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</row>
    <row r="88" spans="1:25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</row>
    <row r="89" spans="1:25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</row>
    <row r="90" spans="1:25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</row>
    <row r="91" spans="1:25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</row>
    <row r="93" spans="1:25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</row>
    <row r="94" spans="1:25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</row>
    <row r="95" spans="1:25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</row>
    <row r="96" spans="1:25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</row>
    <row r="97" spans="1:25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</row>
    <row r="98" spans="1:25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</row>
    <row r="99" spans="1:25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</row>
    <row r="100" spans="1:25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</row>
    <row r="101" spans="1:25" ht="14.25" customHeight="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  <row r="102" spans="1:25" ht="14.25" customHeight="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</row>
    <row r="103" spans="1:25" ht="14.25" customHeight="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</row>
    <row r="104" spans="1:25" ht="14.25" customHeight="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</row>
    <row r="105" spans="1:25" ht="14.25" customHeight="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</row>
    <row r="106" spans="1:25" ht="14.25" customHeight="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</row>
    <row r="107" spans="1:25" ht="14.25" customHeight="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</row>
    <row r="108" spans="1:25" ht="14.25" customHeight="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</row>
    <row r="109" spans="1:25" ht="14.25" customHeight="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</row>
    <row r="110" spans="1:25" ht="14.25" customHeight="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</row>
    <row r="111" spans="1:25" ht="14.25" customHeight="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</row>
    <row r="112" spans="1:25" ht="14.25" customHeight="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</row>
    <row r="113" spans="1:25" ht="14.25" customHeight="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</row>
    <row r="114" spans="1:25" ht="14.25" customHeight="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</row>
    <row r="115" spans="1:25" ht="14.25" customHeight="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</row>
    <row r="116" spans="1:25" ht="14.25" customHeight="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</row>
    <row r="117" spans="1:25" ht="14.25" customHeight="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</row>
    <row r="118" spans="1:25" ht="14.25" customHeight="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</row>
    <row r="119" spans="1:25" ht="14.25" customHeight="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</row>
    <row r="120" spans="1:25" ht="14.25" customHeight="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</row>
    <row r="121" spans="1:25" ht="14.25" customHeight="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</row>
    <row r="122" spans="1:25" ht="14.25" customHeight="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</row>
    <row r="123" spans="1:25" ht="14.25" customHeight="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</row>
    <row r="124" spans="1:25" ht="14.25" customHeight="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</row>
    <row r="125" spans="1:25" ht="14.25" customHeight="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</row>
    <row r="126" spans="1:25" ht="14.25" customHeight="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</row>
    <row r="127" spans="1:25" ht="14.25" customHeight="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</row>
    <row r="128" spans="1:25" ht="14.25" customHeight="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</row>
    <row r="129" spans="1:25" ht="14.25" customHeight="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</row>
    <row r="130" spans="1:25" ht="14.25" customHeight="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</row>
    <row r="131" spans="1:25" ht="14.25" customHeight="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</row>
    <row r="132" spans="1:25" ht="14.25" customHeight="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</row>
    <row r="133" spans="1:25" ht="14.25" customHeight="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</row>
    <row r="134" spans="1:25" ht="14.25" customHeight="1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</row>
    <row r="135" spans="1:25" ht="14.25" customHeight="1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</row>
    <row r="136" spans="1:25" ht="14.25" customHeight="1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</row>
    <row r="137" spans="1:25" ht="14.25" customHeight="1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</row>
    <row r="138" spans="1:25" ht="14.25" customHeight="1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</row>
    <row r="139" spans="1:25" ht="14.25" customHeight="1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</row>
    <row r="140" spans="1:25" ht="14.25" customHeight="1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</row>
    <row r="141" spans="1:25" ht="14.25" customHeight="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</row>
    <row r="142" spans="1:25" ht="14.25" customHeight="1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</row>
    <row r="143" spans="1:25" ht="14.25" customHeight="1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</row>
    <row r="144" spans="1:25" ht="14.25" customHeight="1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</row>
    <row r="145" spans="1:25" ht="14.25" customHeight="1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</row>
    <row r="146" spans="1:25" ht="14.25" customHeight="1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</row>
    <row r="147" spans="1:25" ht="14.25" customHeight="1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</row>
    <row r="148" spans="1:25" ht="14.25" customHeight="1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</row>
    <row r="149" spans="1:25" ht="14.25" customHeight="1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</row>
    <row r="150" spans="1:25" ht="14.25" customHeight="1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</row>
    <row r="151" spans="1:25" ht="14.25" customHeight="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</row>
    <row r="152" spans="1:25" ht="14.25" customHeight="1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</row>
    <row r="153" spans="1:25" ht="14.25" customHeight="1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</row>
    <row r="154" spans="1:25" ht="14.25" customHeight="1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</row>
    <row r="155" spans="1:25" ht="14.25" customHeight="1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</row>
    <row r="156" spans="1:25" ht="14.25" customHeight="1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</row>
    <row r="157" spans="1:25" ht="14.25" customHeight="1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</row>
    <row r="158" spans="1:25" ht="14.25" customHeight="1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</row>
    <row r="159" spans="1:25" ht="14.25" customHeight="1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</row>
    <row r="160" spans="1:25" ht="14.25" customHeight="1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</row>
    <row r="161" spans="1:25" ht="14.25" customHeight="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</row>
    <row r="162" spans="1:25" ht="14.25" customHeight="1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</row>
    <row r="163" spans="1:25" ht="14.25" customHeight="1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</row>
    <row r="164" spans="1:25" ht="14.25" customHeight="1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</row>
    <row r="165" spans="1:25" ht="14.25" customHeight="1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</row>
    <row r="166" spans="1:25" ht="14.25" customHeight="1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</row>
    <row r="167" spans="1:25" ht="14.25" customHeight="1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</row>
    <row r="168" spans="1:25" ht="14.25" customHeight="1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</row>
    <row r="169" spans="1:25" ht="14.25" customHeight="1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</row>
    <row r="170" spans="1:25" ht="14.25" customHeight="1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</row>
    <row r="171" spans="1:25" ht="14.25" customHeight="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</row>
    <row r="172" spans="1:25" ht="14.25" customHeight="1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</row>
    <row r="173" spans="1:25" ht="14.25" customHeight="1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</row>
    <row r="174" spans="1:25" ht="14.25" customHeight="1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</row>
    <row r="175" spans="1:25" ht="14.25" customHeight="1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</row>
    <row r="176" spans="1:25" ht="14.25" customHeight="1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</row>
    <row r="177" spans="1:25" ht="14.25" customHeight="1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</row>
    <row r="178" spans="1:25" ht="14.25" customHeight="1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</row>
    <row r="179" spans="1:25" ht="14.25" customHeight="1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</row>
    <row r="180" spans="1:25" ht="14.25" customHeight="1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</row>
    <row r="181" spans="1:25" ht="14.25" customHeight="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</row>
    <row r="182" spans="1:25" ht="14.25" customHeight="1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</row>
    <row r="183" spans="1:25" ht="14.25" customHeight="1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</row>
    <row r="184" spans="1:25" ht="14.25" customHeight="1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</row>
    <row r="185" spans="1:25" ht="14.25" customHeight="1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</row>
    <row r="186" spans="1:25" ht="14.25" customHeight="1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</row>
    <row r="187" spans="1:25" ht="14.25" customHeight="1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</row>
    <row r="188" spans="1:25" ht="14.25" customHeight="1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</row>
    <row r="189" spans="1:25" ht="14.25" customHeight="1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</row>
    <row r="190" spans="1:25" ht="14.25" customHeight="1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</row>
    <row r="191" spans="1:25" ht="14.25" customHeight="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</row>
    <row r="192" spans="1:25" ht="14.25" customHeight="1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</row>
    <row r="193" spans="1:25" ht="14.25" customHeight="1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</row>
    <row r="194" spans="1:25" ht="14.25" customHeight="1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</row>
    <row r="195" spans="1:25" ht="14.25" customHeight="1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</row>
    <row r="196" spans="1:25" ht="14.25" customHeight="1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</row>
    <row r="197" spans="1:25" ht="14.25" customHeight="1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</row>
    <row r="198" spans="1:25" ht="14.25" customHeight="1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</row>
    <row r="199" spans="1:25" ht="14.25" customHeight="1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</row>
    <row r="200" spans="1:25" ht="14.25" customHeight="1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</row>
    <row r="201" spans="1:25" ht="14.25" customHeight="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</row>
    <row r="202" spans="1:25" ht="14.25" customHeight="1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</row>
    <row r="203" spans="1:25" ht="14.25" customHeight="1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</row>
    <row r="204" spans="1:25" ht="14.25" customHeight="1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</row>
    <row r="205" spans="1:25" ht="14.25" customHeight="1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</row>
    <row r="206" spans="1:25" ht="14.25" customHeight="1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</row>
    <row r="207" spans="1:25" ht="14.25" customHeight="1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</row>
    <row r="208" spans="1:25" ht="14.25" customHeight="1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</row>
    <row r="209" spans="1:25" ht="14.25" customHeight="1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</row>
    <row r="210" spans="1:25" ht="14.25" customHeight="1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</row>
    <row r="211" spans="1:25" ht="14.25" customHeight="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</row>
    <row r="212" spans="1:25" ht="14.25" customHeight="1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</row>
    <row r="213" spans="1:25" ht="14.25" customHeight="1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</row>
    <row r="214" spans="1:25" ht="14.25" customHeight="1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</row>
    <row r="215" spans="1:25" ht="14.2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</row>
    <row r="216" spans="1:25" ht="14.2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</row>
    <row r="217" spans="1:25" ht="14.2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</row>
    <row r="218" spans="1:25" ht="14.2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</row>
    <row r="219" spans="1:25" ht="14.2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</row>
    <row r="220" spans="1:25" ht="14.2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</row>
    <row r="221" spans="1:25" ht="14.2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</row>
    <row r="222" spans="1:25" ht="14.2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</row>
    <row r="223" spans="1:25" ht="14.2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</row>
    <row r="224" spans="1:25" ht="14.2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</row>
    <row r="225" spans="1:25" ht="14.2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</row>
    <row r="226" spans="1:25" ht="14.2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</row>
    <row r="227" spans="1:25" ht="14.2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</row>
    <row r="228" spans="1:25" ht="14.2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</row>
    <row r="229" spans="1:25" ht="14.2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</row>
    <row r="230" spans="1:25" ht="14.2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</row>
    <row r="231" spans="1:25" ht="14.2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</row>
    <row r="232" spans="1:25" ht="14.2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</row>
    <row r="233" spans="1:25" ht="14.2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</row>
    <row r="234" spans="1:25" ht="14.2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</row>
    <row r="235" spans="1:25" ht="14.2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</row>
    <row r="236" spans="1:25" ht="14.2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</row>
    <row r="237" spans="1:25" ht="14.2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</row>
    <row r="238" spans="1:25" ht="14.2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</row>
    <row r="239" spans="1:25" ht="14.2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</row>
    <row r="240" spans="1:25" ht="14.2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</row>
    <row r="241" spans="1:25" ht="14.2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</row>
    <row r="242" spans="1:25" ht="14.2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</row>
    <row r="243" spans="1:25" ht="14.2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</row>
    <row r="244" spans="1:25" ht="14.2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</row>
    <row r="245" spans="1:25" ht="14.2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</row>
    <row r="246" spans="1:25" ht="14.2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</row>
    <row r="247" spans="1:25" ht="14.2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</row>
    <row r="248" spans="1:25" ht="14.2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</row>
    <row r="249" spans="1:25" ht="14.2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</row>
    <row r="250" spans="1:25" ht="14.2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</row>
    <row r="251" spans="1:25" ht="14.25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</row>
    <row r="252" spans="1:25" ht="14.2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</row>
    <row r="253" spans="1:25" ht="14.2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</row>
    <row r="254" spans="1:25" ht="14.2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</row>
    <row r="255" spans="1:25" ht="14.2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</row>
    <row r="256" spans="1:25" ht="14.2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</row>
    <row r="257" spans="1:25" ht="14.2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</row>
    <row r="258" spans="1:25" ht="14.2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</row>
    <row r="259" spans="1:25" ht="14.2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</row>
    <row r="260" spans="1:25" ht="14.2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</row>
    <row r="261" spans="1:25" ht="14.2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</row>
    <row r="262" spans="1:25" ht="14.2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</row>
    <row r="263" spans="1:25" ht="14.2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</row>
    <row r="264" spans="1:25" ht="14.2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</row>
    <row r="265" spans="1:25" ht="14.2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</row>
    <row r="266" spans="1:25" ht="14.2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</row>
    <row r="267" spans="1:25" ht="14.2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</row>
    <row r="268" spans="1:25" ht="14.2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</row>
    <row r="269" spans="1:25" ht="14.2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</row>
    <row r="270" spans="1:25" ht="14.2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</row>
    <row r="271" spans="1:25" ht="14.2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</row>
    <row r="272" spans="1:25" ht="14.2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</row>
    <row r="273" spans="1:25" ht="14.2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</row>
    <row r="274" spans="1:25" ht="14.2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</row>
    <row r="275" spans="1:25" ht="14.2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</row>
    <row r="276" spans="1:25" ht="14.2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</row>
    <row r="277" spans="1:25" ht="14.2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</row>
    <row r="278" spans="1:25" ht="14.2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</row>
    <row r="279" spans="1:25" ht="14.2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</row>
    <row r="280" spans="1:25" ht="14.2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</row>
    <row r="281" spans="1:25" ht="14.2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</row>
    <row r="282" spans="1:25" ht="14.2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</row>
    <row r="283" spans="1:25" ht="14.2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</row>
    <row r="284" spans="1:25" ht="14.2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</row>
    <row r="285" spans="1:25" ht="14.2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</row>
    <row r="286" spans="1:25" ht="14.2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</row>
    <row r="287" spans="1:25" ht="14.2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</row>
    <row r="288" spans="1:25" ht="14.2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</row>
    <row r="289" spans="1:25" ht="14.2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</row>
    <row r="290" spans="1:25" ht="14.2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</row>
    <row r="291" spans="1:25" ht="14.2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</row>
    <row r="292" spans="1:25" ht="14.2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</row>
    <row r="293" spans="1:25" ht="14.2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</row>
    <row r="294" spans="1:25" ht="14.2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</row>
    <row r="295" spans="1:25" ht="14.2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</row>
    <row r="296" spans="1:25" ht="14.2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</row>
    <row r="297" spans="1:25" ht="14.2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</row>
    <row r="298" spans="1:25" ht="14.2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</row>
    <row r="299" spans="1:25" ht="14.2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</row>
    <row r="300" spans="1:25" ht="14.2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</row>
    <row r="301" spans="1:25" ht="14.2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</row>
    <row r="302" spans="1:25" ht="14.2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</row>
    <row r="303" spans="1:25" ht="14.2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</row>
    <row r="304" spans="1:25" ht="14.2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</row>
    <row r="305" spans="1:25" ht="14.2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</row>
    <row r="306" spans="1:25" ht="14.2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</row>
    <row r="307" spans="1:25" ht="14.2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</row>
    <row r="308" spans="1:25" ht="14.2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</row>
    <row r="309" spans="1:25" ht="14.2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</row>
    <row r="310" spans="1:25" ht="14.2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</row>
    <row r="311" spans="1:25" ht="14.2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</row>
    <row r="312" spans="1:25" ht="14.2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</row>
    <row r="313" spans="1:25" ht="14.2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</row>
    <row r="314" spans="1:25" ht="14.2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</row>
    <row r="315" spans="1:25" ht="14.2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</row>
    <row r="316" spans="1:25" ht="14.2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</row>
    <row r="317" spans="1:25" ht="14.2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</row>
    <row r="318" spans="1:25" ht="14.2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</row>
    <row r="319" spans="1:25" ht="14.2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</row>
    <row r="320" spans="1:25" ht="14.2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</row>
    <row r="321" spans="1:25" ht="14.2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</row>
    <row r="322" spans="1:25" ht="14.2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</row>
    <row r="323" spans="1:25" ht="14.2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</row>
    <row r="324" spans="1:25" ht="14.2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</row>
    <row r="325" spans="1:25" ht="14.2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</row>
    <row r="326" spans="1:25" ht="14.2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</row>
    <row r="327" spans="1:25" ht="14.2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</row>
    <row r="328" spans="1:25" ht="14.2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</row>
    <row r="329" spans="1:25" ht="14.2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</row>
    <row r="330" spans="1:25" ht="14.2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</row>
    <row r="331" spans="1:25" ht="14.2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</row>
    <row r="332" spans="1:25" ht="14.2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</row>
    <row r="333" spans="1:25" ht="14.2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</row>
    <row r="334" spans="1:25" ht="14.2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</row>
    <row r="335" spans="1:25" ht="14.2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</row>
    <row r="336" spans="1:25" ht="14.2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</row>
    <row r="337" spans="1:25" ht="14.2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</row>
    <row r="338" spans="1:25" ht="14.2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</row>
    <row r="339" spans="1:25" ht="14.2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</row>
    <row r="340" spans="1:25" ht="14.2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</row>
    <row r="341" spans="1:25" ht="14.25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</row>
    <row r="342" spans="1:25" ht="14.25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</row>
    <row r="343" spans="1:25" ht="14.25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</row>
    <row r="344" spans="1:25" ht="14.25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</row>
    <row r="345" spans="1:25" ht="14.25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</row>
    <row r="346" spans="1:25" ht="14.25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</row>
    <row r="347" spans="1:25" ht="14.25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</row>
    <row r="348" spans="1:25" ht="14.25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</row>
    <row r="349" spans="1:25" ht="14.25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</row>
    <row r="350" spans="1:25" ht="14.25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</row>
    <row r="351" spans="1:25" ht="14.25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</row>
    <row r="352" spans="1:25" ht="14.25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</row>
    <row r="353" spans="1:25" ht="14.25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</row>
    <row r="354" spans="1:25" ht="14.25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</row>
    <row r="355" spans="1:25" ht="14.25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</row>
    <row r="356" spans="1:25" ht="14.25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</row>
    <row r="357" spans="1:25" ht="14.25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</row>
    <row r="358" spans="1:25" ht="14.25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</row>
    <row r="359" spans="1:25" ht="14.25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</row>
    <row r="360" spans="1:25" ht="14.25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</row>
    <row r="361" spans="1:25" ht="14.25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</row>
    <row r="362" spans="1:25" ht="14.25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</row>
    <row r="363" spans="1:25" ht="14.25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</row>
    <row r="364" spans="1:25" ht="14.25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</row>
    <row r="365" spans="1:25" ht="14.25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</row>
    <row r="366" spans="1:25" ht="14.25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</row>
    <row r="367" spans="1:25" ht="14.25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</row>
    <row r="368" spans="1:25" ht="14.25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</row>
    <row r="369" spans="1:25" ht="14.25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</row>
    <row r="370" spans="1:25" ht="14.25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</row>
    <row r="371" spans="1:25" ht="14.25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</row>
    <row r="372" spans="1:25" ht="14.25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</row>
    <row r="373" spans="1:25" ht="14.25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</row>
    <row r="374" spans="1:25" ht="14.2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</row>
    <row r="375" spans="1:25" ht="14.2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</row>
    <row r="376" spans="1:25" ht="14.2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</row>
    <row r="377" spans="1:25" ht="14.2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</row>
    <row r="378" spans="1:25" ht="14.2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</row>
    <row r="379" spans="1:25" ht="14.2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</row>
    <row r="380" spans="1:25" ht="14.2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</row>
    <row r="381" spans="1:25" ht="14.2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</row>
    <row r="382" spans="1:25" ht="14.2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</row>
    <row r="383" spans="1:25" ht="14.2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</row>
    <row r="384" spans="1:25" ht="14.2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</row>
    <row r="385" spans="1:25" ht="14.2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</row>
    <row r="386" spans="1:25" ht="14.2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</row>
    <row r="387" spans="1:25" ht="14.2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</row>
    <row r="388" spans="1:25" ht="14.2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</row>
    <row r="389" spans="1:25" ht="14.2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</row>
    <row r="390" spans="1:25" ht="14.2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</row>
    <row r="391" spans="1:25" ht="14.2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</row>
    <row r="392" spans="1:25" ht="14.2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</row>
    <row r="393" spans="1:25" ht="14.2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</row>
    <row r="394" spans="1:25" ht="14.2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</row>
    <row r="395" spans="1:25" ht="14.2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</row>
    <row r="396" spans="1:25" ht="14.2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</row>
    <row r="397" spans="1:25" ht="14.2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</row>
    <row r="398" spans="1:25" ht="14.2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</row>
    <row r="399" spans="1:25" ht="14.2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</row>
    <row r="400" spans="1:25" ht="14.2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</row>
    <row r="401" spans="1:25" ht="14.2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</row>
    <row r="402" spans="1:25" ht="14.2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</row>
    <row r="403" spans="1:25" ht="14.2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</row>
    <row r="404" spans="1:25" ht="14.2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</row>
    <row r="405" spans="1:25" ht="14.2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</row>
    <row r="406" spans="1:25" ht="14.2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</row>
    <row r="407" spans="1:25" ht="14.2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</row>
    <row r="408" spans="1:25" ht="14.2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</row>
    <row r="409" spans="1:25" ht="14.2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</row>
    <row r="410" spans="1:25" ht="14.2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</row>
    <row r="411" spans="1:25" ht="14.2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</row>
    <row r="412" spans="1:25" ht="14.2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</row>
    <row r="413" spans="1:25" ht="14.2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</row>
    <row r="414" spans="1:25" ht="14.2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</row>
    <row r="415" spans="1:25" ht="14.2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</row>
    <row r="416" spans="1:25" ht="14.2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</row>
    <row r="417" spans="1:25" ht="14.2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</row>
    <row r="418" spans="1:25" ht="14.2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</row>
    <row r="419" spans="1:25" ht="14.2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</row>
    <row r="420" spans="1:25" ht="14.2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</row>
    <row r="421" spans="1:25" ht="14.2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</row>
    <row r="422" spans="1:25" ht="14.2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</row>
    <row r="423" spans="1:25" ht="14.2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</row>
    <row r="424" spans="1:25" ht="14.2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</row>
    <row r="425" spans="1:25" ht="14.2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</row>
    <row r="426" spans="1:25" ht="14.2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</row>
    <row r="427" spans="1:25" ht="14.2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</row>
    <row r="428" spans="1:25" ht="14.2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</row>
    <row r="429" spans="1:25" ht="14.2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</row>
    <row r="430" spans="1:25" ht="14.2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</row>
    <row r="431" spans="1:25" ht="14.2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</row>
    <row r="432" spans="1:25" ht="14.2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</row>
    <row r="433" spans="1:25" ht="14.25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</row>
    <row r="434" spans="1:25" ht="14.25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</row>
    <row r="435" spans="1:25" ht="14.25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</row>
    <row r="436" spans="1:25" ht="14.25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</row>
    <row r="437" spans="1:25" ht="14.25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</row>
    <row r="438" spans="1:25" ht="14.25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</row>
    <row r="439" spans="1:25" ht="14.25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</row>
    <row r="440" spans="1:25" ht="14.25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</row>
    <row r="441" spans="1:25" ht="14.25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</row>
    <row r="442" spans="1:25" ht="14.25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</row>
    <row r="443" spans="1:25" ht="14.25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</row>
    <row r="444" spans="1:25" ht="14.25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</row>
    <row r="445" spans="1:25" ht="14.25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</row>
    <row r="446" spans="1:25" ht="14.25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</row>
    <row r="447" spans="1:25" ht="14.25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</row>
    <row r="448" spans="1:25" ht="14.25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</row>
    <row r="449" spans="1:25" ht="14.25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</row>
    <row r="450" spans="1:25" ht="14.25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</row>
    <row r="451" spans="1:25" ht="14.25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</row>
    <row r="452" spans="1:25" ht="14.25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</row>
    <row r="453" spans="1:25" ht="14.25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</row>
    <row r="454" spans="1:25" ht="14.25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</row>
    <row r="455" spans="1:25" ht="14.2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</row>
    <row r="456" spans="1:25" ht="14.25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</row>
    <row r="457" spans="1:25" ht="14.25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</row>
    <row r="458" spans="1:25" ht="14.25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</row>
    <row r="459" spans="1:25" ht="14.25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</row>
    <row r="460" spans="1:25" ht="14.25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</row>
    <row r="461" spans="1:25" ht="14.25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</row>
    <row r="462" spans="1:25" ht="14.25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</row>
    <row r="463" spans="1:25" ht="14.25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</row>
    <row r="464" spans="1:25" ht="14.25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</row>
    <row r="465" spans="1:25" ht="14.25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</row>
    <row r="466" spans="1:25" ht="14.25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</row>
    <row r="467" spans="1:25" ht="14.25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</row>
    <row r="468" spans="1:25" ht="14.25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</row>
    <row r="469" spans="1:25" ht="14.25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</row>
    <row r="470" spans="1:25" ht="14.25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</row>
    <row r="471" spans="1:25" ht="14.25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</row>
    <row r="472" spans="1:25" ht="14.25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</row>
    <row r="473" spans="1:25" ht="14.25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</row>
    <row r="474" spans="1:25" ht="14.25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</row>
    <row r="475" spans="1:25" ht="14.25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</row>
    <row r="476" spans="1:25" ht="14.25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</row>
    <row r="477" spans="1:25" ht="14.25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</row>
    <row r="478" spans="1:25" ht="14.25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</row>
    <row r="479" spans="1:25" ht="14.25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</row>
    <row r="480" spans="1:25" ht="14.25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</row>
    <row r="481" spans="1:25" ht="14.25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</row>
    <row r="482" spans="1:25" ht="14.25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</row>
    <row r="483" spans="1:25" ht="14.25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</row>
    <row r="484" spans="1:25" ht="14.25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</row>
    <row r="485" spans="1:25" ht="14.25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</row>
    <row r="486" spans="1:25" ht="14.25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</row>
    <row r="487" spans="1:25" ht="14.25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</row>
    <row r="488" spans="1:25" ht="14.25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</row>
    <row r="489" spans="1:25" ht="14.25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</row>
    <row r="490" spans="1:25" ht="14.25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</row>
    <row r="491" spans="1:25" ht="14.25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</row>
    <row r="492" spans="1:25" ht="14.25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</row>
    <row r="493" spans="1:25" ht="14.25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</row>
    <row r="494" spans="1:25" ht="14.25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</row>
    <row r="495" spans="1:25" ht="14.25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</row>
    <row r="496" spans="1:25" ht="14.25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</row>
    <row r="497" spans="1:25" ht="14.25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</row>
    <row r="498" spans="1:25" ht="14.25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</row>
    <row r="499" spans="1:25" ht="14.25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</row>
    <row r="500" spans="1:25" ht="14.25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</row>
    <row r="501" spans="1:25" ht="14.2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</row>
    <row r="502" spans="1:25" ht="14.25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</row>
    <row r="503" spans="1:25" ht="14.25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</row>
    <row r="504" spans="1:25" ht="14.25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</row>
    <row r="505" spans="1:25" ht="14.25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</row>
    <row r="506" spans="1:25" ht="14.25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</row>
    <row r="507" spans="1:25" ht="14.25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</row>
    <row r="508" spans="1:25" ht="14.2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</row>
    <row r="509" spans="1:25" ht="14.25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</row>
    <row r="510" spans="1:25" ht="14.2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</row>
    <row r="511" spans="1:25" ht="14.25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</row>
    <row r="512" spans="1:25" ht="14.25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</row>
    <row r="513" spans="1:25" ht="14.25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</row>
    <row r="514" spans="1:25" ht="14.25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</row>
    <row r="515" spans="1:25" ht="14.25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</row>
    <row r="516" spans="1:25" ht="14.25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</row>
    <row r="517" spans="1:25" ht="14.25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</row>
    <row r="518" spans="1:25" ht="14.25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</row>
    <row r="519" spans="1:25" ht="14.25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</row>
    <row r="520" spans="1:25" ht="14.25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</row>
    <row r="521" spans="1:25" ht="14.2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</row>
    <row r="522" spans="1:25" ht="14.25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</row>
    <row r="523" spans="1:25" ht="14.25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</row>
    <row r="524" spans="1:25" ht="14.25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</row>
    <row r="525" spans="1:25" ht="14.25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</row>
    <row r="526" spans="1:25" ht="14.25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</row>
    <row r="527" spans="1:25" ht="14.25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</row>
    <row r="528" spans="1:25" ht="14.2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</row>
    <row r="529" spans="1:25" ht="14.25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</row>
    <row r="530" spans="1:25" ht="14.25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</row>
    <row r="531" spans="1:25" ht="14.25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</row>
    <row r="532" spans="1:25" ht="14.25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</row>
    <row r="533" spans="1:25" ht="14.2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</row>
    <row r="534" spans="1:25" ht="14.25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</row>
    <row r="535" spans="1:25" ht="14.25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</row>
    <row r="536" spans="1:25" ht="14.25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</row>
    <row r="537" spans="1:25" ht="14.25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</row>
    <row r="538" spans="1:25" ht="14.25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</row>
    <row r="539" spans="1:25" ht="14.25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</row>
    <row r="540" spans="1:25" ht="14.25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</row>
    <row r="541" spans="1:25" ht="14.25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</row>
    <row r="542" spans="1:25" ht="14.25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</row>
    <row r="543" spans="1:25" ht="14.25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</row>
    <row r="544" spans="1:25" ht="14.25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</row>
    <row r="545" spans="1:25" ht="14.25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</row>
    <row r="546" spans="1:25" ht="14.25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</row>
    <row r="547" spans="1:25" ht="14.25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</row>
    <row r="548" spans="1:25" ht="14.25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</row>
    <row r="549" spans="1:25" ht="14.25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</row>
    <row r="550" spans="1:25" ht="14.25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</row>
    <row r="551" spans="1:25" ht="14.25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</row>
    <row r="552" spans="1:25" ht="14.25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</row>
    <row r="553" spans="1:25" ht="14.25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</row>
    <row r="554" spans="1:25" ht="14.25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</row>
    <row r="555" spans="1:25" ht="14.25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</row>
    <row r="556" spans="1:25" ht="14.25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</row>
    <row r="557" spans="1:25" ht="14.25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</row>
    <row r="558" spans="1:25" ht="14.25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</row>
    <row r="559" spans="1:25" ht="14.25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</row>
    <row r="560" spans="1:25" ht="14.25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</row>
    <row r="561" spans="1:25" ht="14.25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</row>
    <row r="562" spans="1:25" ht="14.25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</row>
    <row r="563" spans="1:25" ht="14.25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</row>
    <row r="564" spans="1:25" ht="14.25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</row>
    <row r="565" spans="1:25" ht="14.25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</row>
    <row r="566" spans="1:25" ht="14.25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</row>
    <row r="567" spans="1:25" ht="14.25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</row>
    <row r="568" spans="1:25" ht="14.25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</row>
    <row r="569" spans="1:25" ht="14.25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</row>
    <row r="570" spans="1:25" ht="14.25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</row>
    <row r="571" spans="1:25" ht="14.25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</row>
    <row r="572" spans="1:25" ht="14.25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</row>
    <row r="573" spans="1:25" ht="14.25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</row>
    <row r="574" spans="1:25" ht="14.25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</row>
    <row r="575" spans="1:25" ht="14.25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</row>
    <row r="576" spans="1:25" ht="14.25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</row>
    <row r="577" spans="1:25" ht="14.25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</row>
    <row r="578" spans="1:25" ht="14.25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</row>
    <row r="579" spans="1:25" ht="14.25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</row>
    <row r="580" spans="1:25" ht="14.25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</row>
    <row r="581" spans="1:25" ht="14.25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</row>
    <row r="582" spans="1:25" ht="14.25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</row>
    <row r="583" spans="1:25" ht="14.25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</row>
    <row r="584" spans="1:25" ht="14.25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</row>
    <row r="585" spans="1:25" ht="14.25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</row>
    <row r="586" spans="1:25" ht="14.25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</row>
    <row r="587" spans="1:25" ht="14.25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</row>
    <row r="588" spans="1:25" ht="14.25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</row>
    <row r="589" spans="1:25" ht="14.25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</row>
    <row r="590" spans="1:25" ht="14.25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</row>
    <row r="591" spans="1:25" ht="14.25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</row>
    <row r="592" spans="1:25" ht="14.25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</row>
    <row r="593" spans="1:25" ht="14.25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</row>
    <row r="594" spans="1:25" ht="14.25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</row>
    <row r="595" spans="1:25" ht="14.25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</row>
    <row r="596" spans="1:25" ht="14.2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</row>
    <row r="597" spans="1:25" ht="14.25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</row>
    <row r="598" spans="1:25" ht="14.25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</row>
    <row r="599" spans="1:25" ht="14.25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</row>
    <row r="600" spans="1:25" ht="14.25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</row>
    <row r="601" spans="1:25" ht="14.25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</row>
    <row r="602" spans="1:25" ht="14.25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</row>
    <row r="603" spans="1:25" ht="14.25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</row>
    <row r="604" spans="1:25" ht="14.25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</row>
    <row r="605" spans="1:25" ht="14.25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</row>
    <row r="606" spans="1:25" ht="14.25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</row>
    <row r="607" spans="1:25" ht="14.25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</row>
    <row r="608" spans="1:25" ht="14.25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</row>
    <row r="609" spans="1:25" ht="14.25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</row>
    <row r="610" spans="1:25" ht="14.25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</row>
    <row r="611" spans="1:25" ht="14.25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</row>
    <row r="612" spans="1:25" ht="14.25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</row>
    <row r="613" spans="1:25" ht="14.25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</row>
    <row r="614" spans="1:25" ht="14.25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</row>
    <row r="615" spans="1:25" ht="14.25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</row>
    <row r="616" spans="1:25" ht="14.25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</row>
    <row r="617" spans="1:25" ht="14.25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</row>
    <row r="618" spans="1:25" ht="14.25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</row>
    <row r="619" spans="1:25" ht="14.25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</row>
    <row r="620" spans="1:25" ht="14.25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</row>
    <row r="621" spans="1:25" ht="14.25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</row>
    <row r="622" spans="1:25" ht="14.2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</row>
    <row r="623" spans="1:25" ht="14.25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</row>
    <row r="624" spans="1:25" ht="14.25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</row>
    <row r="625" spans="1:25" ht="14.25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</row>
    <row r="626" spans="1:25" ht="14.25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</row>
    <row r="627" spans="1:25" ht="14.25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</row>
    <row r="628" spans="1:25" ht="14.25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</row>
    <row r="629" spans="1:25" ht="14.25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</row>
    <row r="630" spans="1:25" ht="14.2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</row>
    <row r="631" spans="1:25" ht="14.25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</row>
    <row r="632" spans="1:25" ht="14.25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</row>
    <row r="633" spans="1:25" ht="14.2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</row>
    <row r="634" spans="1:25" ht="14.2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</row>
    <row r="635" spans="1:25" ht="14.25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</row>
    <row r="636" spans="1:25" ht="14.25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</row>
    <row r="637" spans="1:25" ht="14.25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</row>
    <row r="638" spans="1:25" ht="14.25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</row>
    <row r="639" spans="1:25" ht="14.25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</row>
    <row r="640" spans="1:25" ht="14.25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</row>
    <row r="641" spans="1:25" ht="14.25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</row>
    <row r="642" spans="1:25" ht="14.25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</row>
    <row r="643" spans="1:25" ht="14.25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</row>
    <row r="644" spans="1:25" ht="14.25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</row>
    <row r="645" spans="1:25" ht="14.25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</row>
    <row r="646" spans="1:25" ht="14.25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</row>
    <row r="647" spans="1:25" ht="14.25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</row>
    <row r="648" spans="1:25" ht="14.25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</row>
    <row r="649" spans="1:25" ht="14.25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</row>
    <row r="650" spans="1:25" ht="14.25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</row>
    <row r="651" spans="1:25" ht="14.25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</row>
    <row r="652" spans="1:25" ht="14.25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</row>
    <row r="653" spans="1:25" ht="14.25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</row>
    <row r="654" spans="1:25" ht="14.25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</row>
    <row r="655" spans="1:25" ht="14.25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</row>
    <row r="656" spans="1:25" ht="14.25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</row>
    <row r="657" spans="1:25" ht="14.25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</row>
    <row r="658" spans="1:25" ht="14.25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</row>
    <row r="659" spans="1:25" ht="14.25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</row>
    <row r="660" spans="1:25" ht="14.25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</row>
    <row r="661" spans="1:25" ht="14.25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</row>
    <row r="662" spans="1:25" ht="14.25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</row>
    <row r="663" spans="1:25" ht="14.25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</row>
    <row r="664" spans="1:25" ht="14.25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</row>
    <row r="665" spans="1:25" ht="14.25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</row>
    <row r="666" spans="1:25" ht="14.25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</row>
    <row r="667" spans="1:25" ht="14.25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</row>
    <row r="668" spans="1:25" ht="14.25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</row>
    <row r="669" spans="1:25" ht="14.25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</row>
    <row r="670" spans="1:25" ht="14.25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</row>
    <row r="671" spans="1:25" ht="14.25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</row>
    <row r="672" spans="1:25" ht="14.25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</row>
    <row r="673" spans="1:25" ht="14.25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</row>
    <row r="674" spans="1:25" ht="14.25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</row>
    <row r="675" spans="1:25" ht="14.25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</row>
    <row r="676" spans="1:25" ht="14.25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</row>
    <row r="677" spans="1:25" ht="14.25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</row>
    <row r="678" spans="1:25" ht="14.25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</row>
    <row r="679" spans="1:25" ht="14.25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</row>
    <row r="680" spans="1:25" ht="14.25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</row>
    <row r="681" spans="1:25" ht="14.25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</row>
    <row r="682" spans="1:25" ht="14.25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</row>
    <row r="683" spans="1:25" ht="14.25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</row>
    <row r="684" spans="1:25" ht="14.25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</row>
    <row r="685" spans="1:25" ht="14.25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</row>
    <row r="686" spans="1:25" ht="14.25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</row>
    <row r="687" spans="1:25" ht="14.25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</row>
    <row r="688" spans="1:25" ht="14.25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</row>
    <row r="689" spans="1:25" ht="14.25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</row>
    <row r="690" spans="1:25" ht="14.25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</row>
    <row r="691" spans="1:25" ht="14.25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</row>
    <row r="692" spans="1:25" ht="14.25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</row>
    <row r="693" spans="1:25" ht="14.25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</row>
    <row r="694" spans="1:25" ht="14.25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</row>
    <row r="695" spans="1:25" ht="14.25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</row>
    <row r="696" spans="1:25" ht="14.25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</row>
    <row r="697" spans="1:25" ht="14.25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</row>
    <row r="698" spans="1:25" ht="14.25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</row>
    <row r="699" spans="1:25" ht="14.25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</row>
    <row r="700" spans="1:25" ht="14.25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</row>
    <row r="701" spans="1:25" ht="14.25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</row>
    <row r="702" spans="1:25" ht="14.25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</row>
    <row r="703" spans="1:25" ht="14.25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</row>
    <row r="704" spans="1:25" ht="14.25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</row>
    <row r="705" spans="1:25" ht="14.25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</row>
    <row r="706" spans="1:25" ht="14.25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</row>
    <row r="707" spans="1:25" ht="14.25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</row>
    <row r="708" spans="1:25" ht="14.25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</row>
    <row r="709" spans="1:25" ht="14.25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</row>
    <row r="710" spans="1:25" ht="14.25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</row>
    <row r="711" spans="1:25" ht="14.25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</row>
    <row r="712" spans="1:25" ht="14.25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</row>
    <row r="713" spans="1:25" ht="14.25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</row>
    <row r="714" spans="1:25" ht="14.25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</row>
    <row r="715" spans="1:25" ht="14.25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</row>
    <row r="716" spans="1:25" ht="14.25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</row>
    <row r="717" spans="1:25" ht="14.25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</row>
    <row r="718" spans="1:25" ht="14.25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</row>
    <row r="719" spans="1:25" ht="14.25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</row>
    <row r="720" spans="1:25" ht="14.25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</row>
    <row r="721" spans="1:25" ht="14.25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</row>
    <row r="722" spans="1:25" ht="14.25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</row>
    <row r="723" spans="1:25" ht="14.25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</row>
    <row r="724" spans="1:25" ht="14.25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</row>
    <row r="725" spans="1:25" ht="14.25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</row>
    <row r="726" spans="1:25" ht="14.25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</row>
    <row r="727" spans="1:25" ht="14.25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</row>
    <row r="728" spans="1:25" ht="14.25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</row>
    <row r="729" spans="1:25" ht="14.25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</row>
    <row r="730" spans="1:25" ht="14.25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</row>
    <row r="731" spans="1:25" ht="14.25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</row>
    <row r="732" spans="1:25" ht="14.25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</row>
    <row r="733" spans="1:25" ht="14.25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</row>
    <row r="734" spans="1:25" ht="14.25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</row>
    <row r="735" spans="1:25" ht="14.25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</row>
    <row r="736" spans="1:25" ht="14.25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</row>
    <row r="737" spans="1:25" ht="14.25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</row>
    <row r="738" spans="1:25" ht="14.25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</row>
    <row r="739" spans="1:25" ht="14.25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</row>
    <row r="740" spans="1:25" ht="14.25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</row>
    <row r="741" spans="1:25" ht="14.25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</row>
    <row r="742" spans="1:25" ht="14.25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</row>
    <row r="743" spans="1:25" ht="14.25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</row>
    <row r="744" spans="1:25" ht="14.25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</row>
    <row r="745" spans="1:25" ht="14.25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</row>
    <row r="746" spans="1:25" ht="14.25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</row>
    <row r="747" spans="1:25" ht="14.25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</row>
    <row r="748" spans="1:25" ht="14.25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</row>
    <row r="749" spans="1:25" ht="14.25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</row>
    <row r="750" spans="1:25" ht="14.25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</row>
    <row r="751" spans="1:25" ht="14.25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</row>
    <row r="752" spans="1:25" ht="14.25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</row>
    <row r="753" spans="1:25" ht="14.25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</row>
    <row r="754" spans="1:25" ht="14.25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</row>
    <row r="755" spans="1:25" ht="14.25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</row>
    <row r="756" spans="1:25" ht="14.25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</row>
    <row r="757" spans="1:25" ht="14.2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</row>
    <row r="758" spans="1:25" ht="14.25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</row>
    <row r="759" spans="1:25" ht="14.25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</row>
    <row r="760" spans="1:25" ht="14.25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</row>
    <row r="761" spans="1:25" ht="14.25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</row>
    <row r="762" spans="1:25" ht="14.25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</row>
    <row r="763" spans="1:25" ht="14.25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</row>
    <row r="764" spans="1:25" ht="14.25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</row>
    <row r="765" spans="1:25" ht="14.25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</row>
    <row r="766" spans="1:25" ht="14.2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</row>
    <row r="767" spans="1:25" ht="14.25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</row>
    <row r="768" spans="1:25" ht="14.25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</row>
    <row r="769" spans="1:25" ht="14.25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</row>
    <row r="770" spans="1:25" ht="14.2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</row>
    <row r="771" spans="1:25" ht="14.25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</row>
    <row r="772" spans="1:25" ht="14.25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</row>
    <row r="773" spans="1:25" ht="14.25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</row>
    <row r="774" spans="1:25" ht="14.25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</row>
    <row r="775" spans="1:25" ht="14.25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</row>
    <row r="776" spans="1:25" ht="14.25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</row>
    <row r="777" spans="1:25" ht="14.25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</row>
    <row r="778" spans="1:25" ht="14.25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</row>
    <row r="779" spans="1:25" ht="14.25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</row>
    <row r="780" spans="1:25" ht="14.25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</row>
    <row r="781" spans="1:25" ht="14.25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</row>
    <row r="782" spans="1:25" ht="14.25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</row>
    <row r="783" spans="1:25" ht="14.25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</row>
    <row r="784" spans="1:25" ht="14.25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</row>
    <row r="785" spans="1:25" ht="14.25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</row>
    <row r="786" spans="1:25" ht="14.25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</row>
    <row r="787" spans="1:25" ht="14.25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</row>
    <row r="788" spans="1:25" ht="14.25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</row>
    <row r="789" spans="1:25" ht="14.25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</row>
    <row r="790" spans="1:25" ht="14.25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</row>
    <row r="791" spans="1:25" ht="14.25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</row>
    <row r="792" spans="1:25" ht="14.25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</row>
    <row r="793" spans="1:25" ht="14.25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</row>
    <row r="794" spans="1:25" ht="14.25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</row>
    <row r="795" spans="1:25" ht="14.25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</row>
    <row r="796" spans="1:25" ht="14.25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</row>
    <row r="797" spans="1:25" ht="14.25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</row>
    <row r="798" spans="1:25" ht="14.25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</row>
    <row r="799" spans="1:25" ht="14.25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</row>
    <row r="800" spans="1:25" ht="14.25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</row>
    <row r="801" spans="1:25" ht="14.25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</row>
    <row r="802" spans="1:25" ht="14.25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</row>
    <row r="803" spans="1:25" ht="14.25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</row>
    <row r="804" spans="1:25" ht="14.25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</row>
    <row r="805" spans="1:25" ht="14.25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</row>
    <row r="806" spans="1:25" ht="14.25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</row>
    <row r="807" spans="1:25" ht="14.25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</row>
    <row r="808" spans="1:25" ht="14.25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</row>
    <row r="809" spans="1:25" ht="14.25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</row>
    <row r="810" spans="1:25" ht="14.25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</row>
    <row r="811" spans="1:25" ht="14.25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</row>
    <row r="812" spans="1:25" ht="14.25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</row>
    <row r="813" spans="1:25" ht="14.2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</row>
    <row r="814" spans="1:25" ht="14.25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</row>
    <row r="815" spans="1:25" ht="14.25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</row>
    <row r="816" spans="1:25" ht="14.25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</row>
    <row r="817" spans="1:25" ht="14.25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</row>
    <row r="818" spans="1:25" ht="14.25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</row>
    <row r="819" spans="1:25" ht="14.25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</row>
    <row r="820" spans="1:25" ht="14.25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</row>
    <row r="821" spans="1:25" ht="14.25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</row>
    <row r="822" spans="1:25" ht="14.25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</row>
    <row r="823" spans="1:25" ht="14.25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</row>
    <row r="824" spans="1:25" ht="14.25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</row>
    <row r="825" spans="1:25" ht="14.25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</row>
    <row r="826" spans="1:25" ht="14.25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</row>
    <row r="827" spans="1:25" ht="14.25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</row>
    <row r="828" spans="1:25" ht="14.25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</row>
    <row r="829" spans="1:25" ht="14.25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</row>
    <row r="830" spans="1:25" ht="14.25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</row>
    <row r="831" spans="1:25" ht="14.25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</row>
    <row r="832" spans="1:25" ht="14.25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</row>
    <row r="833" spans="1:25" ht="14.25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</row>
    <row r="834" spans="1:25" ht="14.25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</row>
    <row r="835" spans="1:25" ht="14.25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</row>
    <row r="836" spans="1:25" ht="14.25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</row>
    <row r="837" spans="1:25" ht="14.25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</row>
    <row r="838" spans="1:25" ht="14.25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</row>
    <row r="839" spans="1:25" ht="14.25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</row>
    <row r="840" spans="1:25" ht="14.25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</row>
    <row r="841" spans="1:25" ht="14.25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</row>
    <row r="842" spans="1:25" ht="14.25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</row>
    <row r="843" spans="1:25" ht="14.25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</row>
    <row r="844" spans="1:25" ht="14.25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</row>
    <row r="845" spans="1:25" ht="14.25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</row>
    <row r="846" spans="1:25" ht="14.25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</row>
    <row r="847" spans="1:25" ht="14.25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</row>
    <row r="848" spans="1:25" ht="14.25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</row>
    <row r="849" spans="1:25" ht="14.25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</row>
    <row r="850" spans="1:25" ht="14.25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</row>
    <row r="851" spans="1:25" ht="14.25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</row>
    <row r="852" spans="1:25" ht="14.25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</row>
    <row r="853" spans="1:25" ht="14.25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</row>
    <row r="854" spans="1:25" ht="14.25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</row>
    <row r="855" spans="1:25" ht="14.25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</row>
    <row r="856" spans="1:25" ht="14.25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</row>
    <row r="857" spans="1:25" ht="14.25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</row>
    <row r="858" spans="1:25" ht="14.25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</row>
    <row r="859" spans="1:25" ht="14.25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</row>
    <row r="860" spans="1:25" ht="14.25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</row>
    <row r="861" spans="1:25" ht="14.25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</row>
    <row r="862" spans="1:25" ht="14.25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</row>
    <row r="863" spans="1:25" ht="14.25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</row>
    <row r="864" spans="1:25" ht="14.25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</row>
    <row r="865" spans="1:25" ht="14.25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</row>
    <row r="866" spans="1:25" ht="14.25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</row>
    <row r="867" spans="1:25" ht="14.25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</row>
    <row r="868" spans="1:25" ht="14.25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</row>
    <row r="869" spans="1:25" ht="14.25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</row>
    <row r="870" spans="1:25" ht="14.25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</row>
    <row r="871" spans="1:25" ht="14.25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</row>
    <row r="872" spans="1:25" ht="14.25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</row>
    <row r="873" spans="1:25" ht="14.25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</row>
    <row r="874" spans="1:25" ht="14.25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</row>
    <row r="875" spans="1:25" ht="14.25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</row>
    <row r="876" spans="1:25" ht="14.25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</row>
    <row r="877" spans="1:25" ht="14.25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</row>
    <row r="878" spans="1:25" ht="14.25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</row>
    <row r="879" spans="1:25" ht="14.25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</row>
    <row r="880" spans="1:25" ht="14.25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</row>
    <row r="881" spans="1:25" ht="14.25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</row>
    <row r="882" spans="1:25" ht="14.25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</row>
    <row r="883" spans="1:25" ht="14.25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</row>
    <row r="884" spans="1:25" ht="14.25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</row>
    <row r="885" spans="1:25" ht="14.25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</row>
    <row r="886" spans="1:25" ht="14.25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</row>
    <row r="887" spans="1:25" ht="14.25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</row>
    <row r="888" spans="1:25" ht="14.25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</row>
    <row r="889" spans="1:25" ht="14.25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</row>
    <row r="890" spans="1:25" ht="14.25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</row>
    <row r="891" spans="1:25" ht="14.25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</row>
    <row r="892" spans="1:25" ht="14.25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</row>
    <row r="893" spans="1:25" ht="14.25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</row>
    <row r="894" spans="1:25" ht="14.25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</row>
    <row r="895" spans="1:25" ht="14.25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</row>
    <row r="896" spans="1:25" ht="14.25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</row>
    <row r="897" spans="1:25" ht="14.25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</row>
    <row r="898" spans="1:25" ht="14.25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</row>
    <row r="899" spans="1:25" ht="14.25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</row>
    <row r="900" spans="1:25" ht="14.25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</row>
    <row r="901" spans="1:25" ht="14.25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</row>
    <row r="902" spans="1:25" ht="14.25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</row>
    <row r="903" spans="1:25" ht="14.25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</row>
    <row r="904" spans="1:25" ht="14.25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</row>
    <row r="905" spans="1:25" ht="14.25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</row>
    <row r="906" spans="1:25" ht="14.25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</row>
    <row r="907" spans="1:25" ht="14.25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</row>
    <row r="908" spans="1:25" ht="14.25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</row>
    <row r="909" spans="1:25" ht="14.25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</row>
    <row r="910" spans="1:25" ht="14.25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</row>
    <row r="911" spans="1:25" ht="14.25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</row>
    <row r="912" spans="1:25" ht="14.25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</row>
    <row r="913" spans="1:25" ht="14.25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</row>
    <row r="914" spans="1:25" ht="14.25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</row>
    <row r="915" spans="1:25" ht="14.25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</row>
    <row r="916" spans="1:25" ht="14.25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</row>
    <row r="917" spans="1:25" ht="14.25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</row>
    <row r="918" spans="1:25" ht="14.25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</row>
    <row r="919" spans="1:25" ht="14.25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</row>
    <row r="920" spans="1:25" ht="14.25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</row>
    <row r="921" spans="1:25" ht="14.25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</row>
    <row r="922" spans="1:25" ht="14.25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</row>
    <row r="923" spans="1:25" ht="14.25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</row>
    <row r="924" spans="1:25" ht="14.25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</row>
    <row r="925" spans="1:25" ht="14.25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</row>
    <row r="926" spans="1:25" ht="14.25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</row>
    <row r="927" spans="1:25" ht="14.25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</row>
    <row r="928" spans="1:25" ht="14.25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</row>
    <row r="929" spans="1:25" ht="14.25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</row>
    <row r="930" spans="1:25" ht="14.25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</row>
    <row r="931" spans="1:25" ht="14.25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</row>
    <row r="932" spans="1:25" ht="14.25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</row>
    <row r="933" spans="1:25" ht="14.25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</row>
    <row r="934" spans="1:25" ht="14.25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</row>
    <row r="935" spans="1:25" ht="14.25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</row>
    <row r="936" spans="1:25" ht="14.25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</row>
    <row r="937" spans="1:25" ht="14.25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</row>
    <row r="938" spans="1:25" ht="14.25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</row>
    <row r="939" spans="1:25" ht="14.25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</row>
    <row r="940" spans="1:25" ht="14.25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</row>
    <row r="941" spans="1:25" ht="14.25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</row>
    <row r="942" spans="1:25" ht="14.25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</row>
    <row r="943" spans="1:25" ht="14.25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</row>
    <row r="944" spans="1:25" ht="14.25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</row>
    <row r="945" spans="1:25" ht="14.25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</row>
    <row r="946" spans="1:25" ht="14.25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</row>
    <row r="947" spans="1:25" ht="14.25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</row>
    <row r="948" spans="1:25" ht="14.25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</row>
    <row r="949" spans="1:25" ht="14.25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</row>
    <row r="950" spans="1:25" ht="14.25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</row>
    <row r="951" spans="1:25" ht="14.25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</row>
    <row r="952" spans="1:25" ht="14.25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</row>
    <row r="953" spans="1:25" ht="14.25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</row>
    <row r="954" spans="1:25" ht="14.25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</row>
    <row r="955" spans="1:25" ht="14.25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</row>
    <row r="956" spans="1:25" ht="14.25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</row>
    <row r="957" spans="1:25" ht="14.25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</row>
    <row r="958" spans="1:25" ht="14.25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</row>
    <row r="959" spans="1:25" ht="14.25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</row>
    <row r="960" spans="1:25" ht="14.25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</row>
    <row r="961" spans="1:25" ht="14.25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</row>
    <row r="962" spans="1:25" ht="14.25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</row>
    <row r="963" spans="1:25" ht="14.25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</row>
    <row r="964" spans="1:25" ht="14.25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</row>
    <row r="965" spans="1:25" ht="14.25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</row>
    <row r="966" spans="1:25" ht="14.25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</row>
    <row r="967" spans="1:25" ht="14.25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</row>
    <row r="968" spans="1:25" ht="14.25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</row>
    <row r="969" spans="1:25" ht="14.25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</row>
    <row r="970" spans="1:25" ht="14.25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</row>
    <row r="971" spans="1:25" ht="14.25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</row>
    <row r="972" spans="1:25" ht="14.25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</row>
    <row r="973" spans="1:25" ht="14.25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</row>
    <row r="974" spans="1:25" ht="14.25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</row>
    <row r="975" spans="1:25" ht="14.25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</row>
    <row r="976" spans="1:25" ht="14.25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</row>
    <row r="977" spans="1:25" ht="14.25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</row>
    <row r="978" spans="1:25" ht="14.25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</row>
    <row r="979" spans="1:25" ht="14.2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</row>
    <row r="980" spans="1:25" ht="14.25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</row>
    <row r="981" spans="1:25" ht="14.2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</row>
    <row r="982" spans="1:25" ht="14.25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</row>
    <row r="983" spans="1:25" ht="14.25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</row>
    <row r="984" spans="1:25" ht="14.25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</row>
    <row r="985" spans="1:25" ht="14.25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</row>
    <row r="986" spans="1:25" ht="14.25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</row>
    <row r="987" spans="1:25" ht="14.25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</row>
    <row r="988" spans="1:25" ht="14.25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</row>
    <row r="989" spans="1:25" ht="14.25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</row>
    <row r="990" spans="1:25" ht="14.25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</row>
  </sheetData>
  <mergeCells count="5">
    <mergeCell ref="C3:H3"/>
    <mergeCell ref="C4:H4"/>
    <mergeCell ref="C5:E5"/>
    <mergeCell ref="H5:H6"/>
    <mergeCell ref="K4:L4"/>
  </mergeCells>
  <conditionalFormatting sqref="E7:E33">
    <cfRule type="cellIs" dxfId="3" priority="3" operator="between">
      <formula>0.01</formula>
      <formula>0.99</formula>
    </cfRule>
    <cfRule type="cellIs" dxfId="2" priority="4" operator="equal">
      <formula>1</formula>
    </cfRule>
  </conditionalFormatting>
  <conditionalFormatting sqref="F36">
    <cfRule type="cellIs" dxfId="1" priority="1" operator="between">
      <formula>0.01</formula>
      <formula>0.99</formula>
    </cfRule>
    <cfRule type="cellIs" dxfId="0" priority="2" operator="equal">
      <formula>1</formula>
    </cfRule>
  </conditionalFormatting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F64F4-2746-4295-ABA8-49C9B856CCCD}">
  <dimension ref="A1:N48"/>
  <sheetViews>
    <sheetView topLeftCell="A31" zoomScale="40" zoomScaleNormal="40" workbookViewId="0">
      <selection activeCell="E51" sqref="E51"/>
    </sheetView>
  </sheetViews>
  <sheetFormatPr defaultRowHeight="14.6"/>
  <cols>
    <col min="1" max="1" width="41.42578125" style="20" customWidth="1"/>
    <col min="2" max="2" width="39.92578125" style="20" bestFit="1" customWidth="1"/>
    <col min="3" max="3" width="18.5703125" style="20" customWidth="1"/>
    <col min="4" max="6" width="20.42578125" style="20" customWidth="1"/>
    <col min="7" max="8" width="18.5703125" style="20" customWidth="1"/>
    <col min="9" max="9" width="46.42578125" style="20" customWidth="1"/>
    <col min="10" max="10" width="18.5703125" style="20" customWidth="1"/>
    <col min="11" max="14" width="20.42578125" style="20" customWidth="1"/>
    <col min="15" max="16384" width="9.140625" style="20"/>
  </cols>
  <sheetData>
    <row r="1" spans="1:14" s="11" customFormat="1" ht="50.05" customHeight="1">
      <c r="A1" s="113" t="str">
        <f ca="1">"Price Calculator "&amp;TEXT(TODAY(),"mmm dd, yyyy")</f>
        <v>Price Calculator Mar 19, 2026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4"/>
    </row>
    <row r="2" spans="1:14" s="15" customFormat="1" ht="50.05" customHeight="1">
      <c r="A2" s="12" t="s">
        <v>5</v>
      </c>
      <c r="B2" s="12" t="s">
        <v>6</v>
      </c>
      <c r="C2" s="12" t="s">
        <v>7</v>
      </c>
      <c r="D2" s="12" t="s">
        <v>8</v>
      </c>
      <c r="E2" s="12" t="s">
        <v>9</v>
      </c>
      <c r="F2" s="12" t="s">
        <v>10</v>
      </c>
      <c r="G2" s="12" t="s">
        <v>11</v>
      </c>
      <c r="H2" s="12" t="s">
        <v>12</v>
      </c>
      <c r="I2" s="12" t="s">
        <v>13</v>
      </c>
      <c r="J2" s="13" t="s">
        <v>14</v>
      </c>
      <c r="K2" s="13" t="s">
        <v>15</v>
      </c>
      <c r="L2" s="13" t="s">
        <v>16</v>
      </c>
      <c r="M2" s="13" t="s">
        <v>17</v>
      </c>
      <c r="N2" s="14" t="s">
        <v>18</v>
      </c>
    </row>
    <row r="3" spans="1:14" ht="100" customHeight="1">
      <c r="A3" s="16" t="s">
        <v>19</v>
      </c>
      <c r="B3" s="16" t="s">
        <v>20</v>
      </c>
      <c r="C3" s="16" t="s">
        <v>21</v>
      </c>
      <c r="D3" s="16" t="s">
        <v>22</v>
      </c>
      <c r="E3" s="16" t="s">
        <v>23</v>
      </c>
      <c r="F3" s="16">
        <v>730</v>
      </c>
      <c r="G3" s="16" t="s">
        <v>24</v>
      </c>
      <c r="H3" s="16">
        <v>1</v>
      </c>
      <c r="I3" s="16" t="s">
        <v>25</v>
      </c>
      <c r="J3" s="17">
        <v>160.88999999999999</v>
      </c>
      <c r="K3" s="17">
        <v>160.88999999999999</v>
      </c>
      <c r="L3" s="17">
        <v>160.88999999999999</v>
      </c>
      <c r="M3" s="18">
        <v>0</v>
      </c>
      <c r="N3" s="19">
        <v>160.88999999999999</v>
      </c>
    </row>
    <row r="4" spans="1:14" ht="100" customHeight="1">
      <c r="A4" s="16" t="s">
        <v>26</v>
      </c>
      <c r="B4" s="16" t="s">
        <v>27</v>
      </c>
      <c r="C4" s="16" t="s">
        <v>21</v>
      </c>
      <c r="D4" s="16" t="s">
        <v>22</v>
      </c>
      <c r="E4" s="16" t="s">
        <v>23</v>
      </c>
      <c r="F4" s="16">
        <v>730</v>
      </c>
      <c r="G4" s="16" t="s">
        <v>24</v>
      </c>
      <c r="H4" s="16">
        <v>1</v>
      </c>
      <c r="I4" s="16" t="s">
        <v>28</v>
      </c>
      <c r="J4" s="17">
        <v>102.93</v>
      </c>
      <c r="K4" s="17">
        <v>102.93</v>
      </c>
      <c r="L4" s="17">
        <v>102.93</v>
      </c>
      <c r="M4" s="18">
        <v>0</v>
      </c>
      <c r="N4" s="19">
        <v>102.93</v>
      </c>
    </row>
    <row r="5" spans="1:14" ht="100" customHeight="1">
      <c r="A5" s="16" t="s">
        <v>29</v>
      </c>
      <c r="B5" s="16" t="s">
        <v>30</v>
      </c>
      <c r="C5" s="16" t="s">
        <v>21</v>
      </c>
      <c r="D5" s="16" t="s">
        <v>22</v>
      </c>
      <c r="E5" s="16" t="s">
        <v>23</v>
      </c>
      <c r="F5" s="16">
        <v>730</v>
      </c>
      <c r="G5" s="16" t="s">
        <v>24</v>
      </c>
      <c r="H5" s="16">
        <v>1</v>
      </c>
      <c r="I5" s="16" t="s">
        <v>31</v>
      </c>
      <c r="J5" s="17">
        <v>86.14</v>
      </c>
      <c r="K5" s="17">
        <v>86.14</v>
      </c>
      <c r="L5" s="17">
        <v>86.14</v>
      </c>
      <c r="M5" s="18">
        <v>0</v>
      </c>
      <c r="N5" s="19">
        <v>86.14</v>
      </c>
    </row>
    <row r="6" spans="1:14" ht="100" customHeight="1">
      <c r="A6" s="16" t="s">
        <v>32</v>
      </c>
      <c r="B6" s="16" t="s">
        <v>33</v>
      </c>
      <c r="C6" s="16" t="s">
        <v>21</v>
      </c>
      <c r="D6" s="16" t="s">
        <v>22</v>
      </c>
      <c r="E6" s="16" t="s">
        <v>23</v>
      </c>
      <c r="F6" s="16">
        <v>730</v>
      </c>
      <c r="G6" s="16" t="s">
        <v>24</v>
      </c>
      <c r="H6" s="16">
        <v>1</v>
      </c>
      <c r="I6" s="16" t="s">
        <v>34</v>
      </c>
      <c r="J6" s="17">
        <v>130.96</v>
      </c>
      <c r="K6" s="17">
        <v>130.96</v>
      </c>
      <c r="L6" s="17">
        <v>130.96</v>
      </c>
      <c r="M6" s="18">
        <v>0</v>
      </c>
      <c r="N6" s="19">
        <v>130.96</v>
      </c>
    </row>
    <row r="7" spans="1:14" ht="100" customHeight="1">
      <c r="A7" s="16" t="s">
        <v>35</v>
      </c>
      <c r="B7" s="16" t="s">
        <v>36</v>
      </c>
      <c r="C7" s="16" t="s">
        <v>21</v>
      </c>
      <c r="D7" s="16" t="s">
        <v>22</v>
      </c>
      <c r="E7" s="16" t="s">
        <v>23</v>
      </c>
      <c r="F7" s="16">
        <v>730</v>
      </c>
      <c r="G7" s="16" t="s">
        <v>24</v>
      </c>
      <c r="H7" s="16">
        <v>1</v>
      </c>
      <c r="I7" s="16" t="s">
        <v>37</v>
      </c>
      <c r="J7" s="17">
        <v>82.83</v>
      </c>
      <c r="K7" s="17">
        <v>82.83</v>
      </c>
      <c r="L7" s="17">
        <v>82.83</v>
      </c>
      <c r="M7" s="18">
        <v>0</v>
      </c>
      <c r="N7" s="19">
        <v>82.83</v>
      </c>
    </row>
    <row r="8" spans="1:14" ht="100" customHeight="1">
      <c r="A8" s="16" t="s">
        <v>38</v>
      </c>
      <c r="B8" s="16" t="s">
        <v>39</v>
      </c>
      <c r="C8" s="16" t="s">
        <v>21</v>
      </c>
      <c r="D8" s="16" t="s">
        <v>22</v>
      </c>
      <c r="E8" s="16" t="s">
        <v>23</v>
      </c>
      <c r="F8" s="16">
        <v>730</v>
      </c>
      <c r="G8" s="16" t="s">
        <v>24</v>
      </c>
      <c r="H8" s="16">
        <v>1</v>
      </c>
      <c r="I8" s="16" t="s">
        <v>40</v>
      </c>
      <c r="J8" s="17">
        <v>83.88</v>
      </c>
      <c r="K8" s="17">
        <v>83.88</v>
      </c>
      <c r="L8" s="17">
        <v>83.88</v>
      </c>
      <c r="M8" s="18">
        <v>0</v>
      </c>
      <c r="N8" s="19">
        <v>83.88</v>
      </c>
    </row>
    <row r="9" spans="1:14" ht="100" customHeight="1">
      <c r="A9" s="16" t="s">
        <v>41</v>
      </c>
      <c r="B9" s="16" t="s">
        <v>42</v>
      </c>
      <c r="C9" s="16" t="s">
        <v>21</v>
      </c>
      <c r="D9" s="16" t="s">
        <v>22</v>
      </c>
      <c r="E9" s="16" t="s">
        <v>23</v>
      </c>
      <c r="F9" s="16">
        <v>730</v>
      </c>
      <c r="G9" s="16" t="s">
        <v>24</v>
      </c>
      <c r="H9" s="16">
        <v>1</v>
      </c>
      <c r="I9" s="16" t="s">
        <v>43</v>
      </c>
      <c r="J9" s="17">
        <v>593.20000000000005</v>
      </c>
      <c r="K9" s="17">
        <v>593.20000000000005</v>
      </c>
      <c r="L9" s="17">
        <v>593.20000000000005</v>
      </c>
      <c r="M9" s="18">
        <v>0</v>
      </c>
      <c r="N9" s="19">
        <v>593.20000000000005</v>
      </c>
    </row>
    <row r="10" spans="1:14" ht="100" customHeight="1">
      <c r="A10" s="16" t="s">
        <v>44</v>
      </c>
      <c r="B10" s="16" t="s">
        <v>45</v>
      </c>
      <c r="C10" s="16" t="s">
        <v>21</v>
      </c>
      <c r="D10" s="16" t="s">
        <v>22</v>
      </c>
      <c r="E10" s="16" t="s">
        <v>23</v>
      </c>
      <c r="F10" s="16">
        <v>730</v>
      </c>
      <c r="G10" s="16" t="s">
        <v>24</v>
      </c>
      <c r="H10" s="16">
        <v>1</v>
      </c>
      <c r="I10" s="16" t="s">
        <v>46</v>
      </c>
      <c r="J10" s="17">
        <v>140.74</v>
      </c>
      <c r="K10" s="17">
        <v>140.74</v>
      </c>
      <c r="L10" s="17">
        <v>140.74</v>
      </c>
      <c r="M10" s="18">
        <v>0</v>
      </c>
      <c r="N10" s="19">
        <v>140.74</v>
      </c>
    </row>
    <row r="11" spans="1:14" ht="100" customHeight="1">
      <c r="A11" s="16" t="s">
        <v>47</v>
      </c>
      <c r="B11" s="16" t="s">
        <v>48</v>
      </c>
      <c r="C11" s="16" t="s">
        <v>21</v>
      </c>
      <c r="D11" s="16" t="s">
        <v>22</v>
      </c>
      <c r="E11" s="16" t="s">
        <v>23</v>
      </c>
      <c r="F11" s="16">
        <v>730</v>
      </c>
      <c r="G11" s="16" t="s">
        <v>24</v>
      </c>
      <c r="H11" s="16">
        <v>1</v>
      </c>
      <c r="I11" s="16" t="s">
        <v>49</v>
      </c>
      <c r="J11" s="17">
        <v>93.08</v>
      </c>
      <c r="K11" s="17">
        <v>93.08</v>
      </c>
      <c r="L11" s="17">
        <v>93.08</v>
      </c>
      <c r="M11" s="18">
        <v>0</v>
      </c>
      <c r="N11" s="19">
        <v>93.08</v>
      </c>
    </row>
    <row r="12" spans="1:14" ht="100" customHeight="1">
      <c r="A12" s="16" t="s">
        <v>50</v>
      </c>
      <c r="B12" s="16" t="s">
        <v>51</v>
      </c>
      <c r="C12" s="16" t="s">
        <v>21</v>
      </c>
      <c r="D12" s="16" t="s">
        <v>22</v>
      </c>
      <c r="E12" s="16" t="s">
        <v>23</v>
      </c>
      <c r="F12" s="16">
        <v>730</v>
      </c>
      <c r="G12" s="16" t="s">
        <v>24</v>
      </c>
      <c r="H12" s="16">
        <v>1</v>
      </c>
      <c r="I12" s="16" t="s">
        <v>52</v>
      </c>
      <c r="J12" s="17">
        <v>104.76</v>
      </c>
      <c r="K12" s="17">
        <v>104.76</v>
      </c>
      <c r="L12" s="17">
        <v>104.76</v>
      </c>
      <c r="M12" s="18">
        <v>0</v>
      </c>
      <c r="N12" s="19">
        <v>104.76</v>
      </c>
    </row>
    <row r="13" spans="1:14" ht="100" customHeight="1">
      <c r="A13" s="16" t="s">
        <v>53</v>
      </c>
      <c r="B13" s="16" t="s">
        <v>54</v>
      </c>
      <c r="C13" s="16" t="s">
        <v>21</v>
      </c>
      <c r="D13" s="16" t="s">
        <v>22</v>
      </c>
      <c r="E13" s="16" t="s">
        <v>23</v>
      </c>
      <c r="F13" s="16">
        <v>730</v>
      </c>
      <c r="G13" s="16" t="s">
        <v>24</v>
      </c>
      <c r="H13" s="16">
        <v>1</v>
      </c>
      <c r="I13" s="16" t="s">
        <v>55</v>
      </c>
      <c r="J13" s="17">
        <v>47.83</v>
      </c>
      <c r="K13" s="17">
        <v>47.83</v>
      </c>
      <c r="L13" s="17">
        <v>47.83</v>
      </c>
      <c r="M13" s="18">
        <v>0</v>
      </c>
      <c r="N13" s="19">
        <v>47.83</v>
      </c>
    </row>
    <row r="14" spans="1:14" ht="100" customHeight="1">
      <c r="A14" s="16" t="s">
        <v>56</v>
      </c>
      <c r="B14" s="16" t="s">
        <v>57</v>
      </c>
      <c r="C14" s="16" t="s">
        <v>21</v>
      </c>
      <c r="D14" s="16" t="s">
        <v>22</v>
      </c>
      <c r="E14" s="16" t="s">
        <v>23</v>
      </c>
      <c r="F14" s="16">
        <v>730</v>
      </c>
      <c r="G14" s="16" t="s">
        <v>24</v>
      </c>
      <c r="H14" s="16">
        <v>1</v>
      </c>
      <c r="I14" s="16" t="s">
        <v>58</v>
      </c>
      <c r="J14" s="17">
        <v>203.09</v>
      </c>
      <c r="K14" s="17">
        <v>203.09</v>
      </c>
      <c r="L14" s="17">
        <v>203.09</v>
      </c>
      <c r="M14" s="18">
        <v>0</v>
      </c>
      <c r="N14" s="19">
        <v>203.09</v>
      </c>
    </row>
    <row r="15" spans="1:14" ht="100" customHeight="1">
      <c r="A15" s="16" t="s">
        <v>59</v>
      </c>
      <c r="B15" s="16" t="s">
        <v>60</v>
      </c>
      <c r="C15" s="16" t="s">
        <v>21</v>
      </c>
      <c r="D15" s="16" t="s">
        <v>22</v>
      </c>
      <c r="E15" s="16" t="s">
        <v>23</v>
      </c>
      <c r="F15" s="16">
        <v>730</v>
      </c>
      <c r="G15" s="16" t="s">
        <v>24</v>
      </c>
      <c r="H15" s="16">
        <v>1</v>
      </c>
      <c r="I15" s="16" t="s">
        <v>61</v>
      </c>
      <c r="J15" s="17">
        <v>196.44</v>
      </c>
      <c r="K15" s="17">
        <v>196.44</v>
      </c>
      <c r="L15" s="17">
        <v>196.44</v>
      </c>
      <c r="M15" s="18">
        <v>0</v>
      </c>
      <c r="N15" s="19">
        <v>196.44</v>
      </c>
    </row>
    <row r="16" spans="1:14" ht="100" customHeight="1">
      <c r="A16" s="16" t="s">
        <v>62</v>
      </c>
      <c r="B16" s="16" t="s">
        <v>63</v>
      </c>
      <c r="C16" s="16" t="s">
        <v>21</v>
      </c>
      <c r="D16" s="16" t="s">
        <v>22</v>
      </c>
      <c r="E16" s="16" t="s">
        <v>23</v>
      </c>
      <c r="F16" s="16">
        <v>730</v>
      </c>
      <c r="G16" s="16" t="s">
        <v>24</v>
      </c>
      <c r="H16" s="16">
        <v>1</v>
      </c>
      <c r="I16" s="16" t="s">
        <v>61</v>
      </c>
      <c r="J16" s="17">
        <v>196.44</v>
      </c>
      <c r="K16" s="17">
        <v>196.44</v>
      </c>
      <c r="L16" s="17">
        <v>196.44</v>
      </c>
      <c r="M16" s="18">
        <v>0</v>
      </c>
      <c r="N16" s="19">
        <v>196.44</v>
      </c>
    </row>
    <row r="17" spans="1:14" ht="100" customHeight="1">
      <c r="A17" s="16" t="s">
        <v>64</v>
      </c>
      <c r="B17" s="16" t="s">
        <v>65</v>
      </c>
      <c r="C17" s="16" t="s">
        <v>21</v>
      </c>
      <c r="D17" s="16" t="s">
        <v>22</v>
      </c>
      <c r="E17" s="16" t="s">
        <v>23</v>
      </c>
      <c r="F17" s="16">
        <v>730</v>
      </c>
      <c r="G17" s="16" t="s">
        <v>24</v>
      </c>
      <c r="H17" s="16">
        <v>1</v>
      </c>
      <c r="I17" s="16" t="s">
        <v>66</v>
      </c>
      <c r="J17" s="17">
        <v>130.31</v>
      </c>
      <c r="K17" s="17">
        <v>130.31</v>
      </c>
      <c r="L17" s="17">
        <v>130.31</v>
      </c>
      <c r="M17" s="18">
        <v>0</v>
      </c>
      <c r="N17" s="19">
        <v>130.31</v>
      </c>
    </row>
    <row r="18" spans="1:14" ht="100" customHeight="1">
      <c r="A18" s="16" t="s">
        <v>67</v>
      </c>
      <c r="B18" s="16" t="s">
        <v>68</v>
      </c>
      <c r="C18" s="16" t="s">
        <v>21</v>
      </c>
      <c r="D18" s="16" t="s">
        <v>22</v>
      </c>
      <c r="E18" s="16" t="s">
        <v>23</v>
      </c>
      <c r="F18" s="16">
        <v>730</v>
      </c>
      <c r="G18" s="16" t="s">
        <v>24</v>
      </c>
      <c r="H18" s="16">
        <v>1</v>
      </c>
      <c r="I18" s="16" t="s">
        <v>69</v>
      </c>
      <c r="J18" s="17">
        <v>189.8</v>
      </c>
      <c r="K18" s="17">
        <v>189.8</v>
      </c>
      <c r="L18" s="17">
        <v>189.8</v>
      </c>
      <c r="M18" s="18">
        <v>0</v>
      </c>
      <c r="N18" s="19">
        <v>189.8</v>
      </c>
    </row>
    <row r="19" spans="1:14" ht="100" customHeight="1">
      <c r="A19" s="16" t="s">
        <v>70</v>
      </c>
      <c r="B19" s="16" t="s">
        <v>71</v>
      </c>
      <c r="C19" s="16" t="s">
        <v>21</v>
      </c>
      <c r="D19" s="16" t="s">
        <v>22</v>
      </c>
      <c r="E19" s="16" t="s">
        <v>23</v>
      </c>
      <c r="F19" s="16">
        <v>730</v>
      </c>
      <c r="G19" s="16" t="s">
        <v>24</v>
      </c>
      <c r="H19" s="16">
        <v>1</v>
      </c>
      <c r="I19" s="16" t="s">
        <v>69</v>
      </c>
      <c r="J19" s="17">
        <v>189.8</v>
      </c>
      <c r="K19" s="17">
        <v>189.8</v>
      </c>
      <c r="L19" s="17">
        <v>189.8</v>
      </c>
      <c r="M19" s="18">
        <v>0</v>
      </c>
      <c r="N19" s="19">
        <v>189.8</v>
      </c>
    </row>
    <row r="20" spans="1:14" ht="100" customHeight="1">
      <c r="A20" s="16" t="s">
        <v>72</v>
      </c>
      <c r="B20" s="16" t="s">
        <v>73</v>
      </c>
      <c r="C20" s="16" t="s">
        <v>21</v>
      </c>
      <c r="D20" s="16" t="s">
        <v>22</v>
      </c>
      <c r="E20" s="16" t="s">
        <v>23</v>
      </c>
      <c r="F20" s="16">
        <v>730</v>
      </c>
      <c r="G20" s="16" t="s">
        <v>24</v>
      </c>
      <c r="H20" s="16">
        <v>1</v>
      </c>
      <c r="I20" s="16" t="s">
        <v>74</v>
      </c>
      <c r="J20" s="17">
        <v>64.239999999999995</v>
      </c>
      <c r="K20" s="17">
        <v>64.239999999999995</v>
      </c>
      <c r="L20" s="17">
        <v>64.239999999999995</v>
      </c>
      <c r="M20" s="18">
        <v>0</v>
      </c>
      <c r="N20" s="19">
        <v>64.239999999999995</v>
      </c>
    </row>
    <row r="21" spans="1:14" ht="100" customHeight="1">
      <c r="A21" s="16" t="s">
        <v>75</v>
      </c>
      <c r="B21" s="16" t="s">
        <v>76</v>
      </c>
      <c r="C21" s="16" t="s">
        <v>21</v>
      </c>
      <c r="D21" s="16" t="s">
        <v>22</v>
      </c>
      <c r="E21" s="16" t="s">
        <v>23</v>
      </c>
      <c r="F21" s="16">
        <v>730</v>
      </c>
      <c r="G21" s="16" t="s">
        <v>24</v>
      </c>
      <c r="H21" s="16">
        <v>1</v>
      </c>
      <c r="I21" s="16" t="s">
        <v>77</v>
      </c>
      <c r="J21" s="17">
        <v>85.41</v>
      </c>
      <c r="K21" s="17">
        <v>85.41</v>
      </c>
      <c r="L21" s="17">
        <v>85.41</v>
      </c>
      <c r="M21" s="18">
        <v>0</v>
      </c>
      <c r="N21" s="19">
        <v>85.41</v>
      </c>
    </row>
    <row r="22" spans="1:14" ht="100" customHeight="1">
      <c r="A22" s="16" t="s">
        <v>78</v>
      </c>
      <c r="B22" s="16" t="s">
        <v>79</v>
      </c>
      <c r="C22" s="16" t="s">
        <v>21</v>
      </c>
      <c r="D22" s="16" t="s">
        <v>22</v>
      </c>
      <c r="E22" s="16" t="s">
        <v>23</v>
      </c>
      <c r="F22" s="16">
        <v>730</v>
      </c>
      <c r="G22" s="16" t="s">
        <v>24</v>
      </c>
      <c r="H22" s="16">
        <v>1</v>
      </c>
      <c r="I22" s="16" t="s">
        <v>80</v>
      </c>
      <c r="J22" s="17">
        <v>270.83</v>
      </c>
      <c r="K22" s="17">
        <v>270.83</v>
      </c>
      <c r="L22" s="17">
        <v>270.83</v>
      </c>
      <c r="M22" s="18">
        <v>0</v>
      </c>
      <c r="N22" s="19">
        <v>270.83</v>
      </c>
    </row>
    <row r="23" spans="1:14" ht="100" customHeight="1">
      <c r="A23" s="16" t="s">
        <v>81</v>
      </c>
      <c r="B23" s="16" t="s">
        <v>82</v>
      </c>
      <c r="C23" s="16" t="s">
        <v>21</v>
      </c>
      <c r="D23" s="16" t="s">
        <v>22</v>
      </c>
      <c r="E23" s="16" t="s">
        <v>23</v>
      </c>
      <c r="F23" s="16">
        <v>730</v>
      </c>
      <c r="G23" s="16" t="s">
        <v>24</v>
      </c>
      <c r="H23" s="16">
        <v>1</v>
      </c>
      <c r="I23" s="16" t="s">
        <v>83</v>
      </c>
      <c r="J23" s="17">
        <v>66.58</v>
      </c>
      <c r="K23" s="17">
        <v>66.58</v>
      </c>
      <c r="L23" s="17">
        <v>66.58</v>
      </c>
      <c r="M23" s="18">
        <v>0</v>
      </c>
      <c r="N23" s="19">
        <v>66.58</v>
      </c>
    </row>
    <row r="24" spans="1:14" ht="100" customHeight="1">
      <c r="A24" s="16" t="s">
        <v>84</v>
      </c>
      <c r="B24" s="16" t="s">
        <v>85</v>
      </c>
      <c r="C24" s="16" t="s">
        <v>21</v>
      </c>
      <c r="D24" s="16" t="s">
        <v>22</v>
      </c>
      <c r="E24" s="16" t="s">
        <v>23</v>
      </c>
      <c r="F24" s="16">
        <v>730</v>
      </c>
      <c r="G24" s="16" t="s">
        <v>24</v>
      </c>
      <c r="H24" s="16">
        <v>1</v>
      </c>
      <c r="I24" s="16" t="s">
        <v>86</v>
      </c>
      <c r="J24" s="17">
        <v>28.47</v>
      </c>
      <c r="K24" s="17">
        <v>28.47</v>
      </c>
      <c r="L24" s="17">
        <v>28.47</v>
      </c>
      <c r="M24" s="18">
        <v>0</v>
      </c>
      <c r="N24" s="19">
        <v>28.47</v>
      </c>
    </row>
    <row r="25" spans="1:14" ht="100" customHeight="1">
      <c r="A25" s="16" t="s">
        <v>87</v>
      </c>
      <c r="B25" s="16" t="s">
        <v>88</v>
      </c>
      <c r="C25" s="16" t="s">
        <v>21</v>
      </c>
      <c r="D25" s="16" t="s">
        <v>22</v>
      </c>
      <c r="E25" s="16" t="s">
        <v>23</v>
      </c>
      <c r="F25" s="16">
        <v>730</v>
      </c>
      <c r="G25" s="16" t="s">
        <v>24</v>
      </c>
      <c r="H25" s="16">
        <v>1</v>
      </c>
      <c r="I25" s="16" t="s">
        <v>89</v>
      </c>
      <c r="J25" s="17">
        <v>91.47</v>
      </c>
      <c r="K25" s="17">
        <v>91.47</v>
      </c>
      <c r="L25" s="17">
        <v>91.47</v>
      </c>
      <c r="M25" s="18">
        <v>0</v>
      </c>
      <c r="N25" s="19">
        <v>91.47</v>
      </c>
    </row>
    <row r="26" spans="1:14" ht="100" customHeight="1">
      <c r="A26" s="16" t="s">
        <v>90</v>
      </c>
      <c r="B26" s="16" t="s">
        <v>91</v>
      </c>
      <c r="C26" s="16" t="s">
        <v>21</v>
      </c>
      <c r="D26" s="16" t="s">
        <v>22</v>
      </c>
      <c r="E26" s="16" t="s">
        <v>23</v>
      </c>
      <c r="F26" s="16">
        <v>730</v>
      </c>
      <c r="G26" s="16" t="s">
        <v>24</v>
      </c>
      <c r="H26" s="16">
        <v>10</v>
      </c>
      <c r="I26" s="16" t="s">
        <v>92</v>
      </c>
      <c r="J26" s="17">
        <v>26.57</v>
      </c>
      <c r="K26" s="17">
        <v>26.57</v>
      </c>
      <c r="L26" s="17">
        <v>265.72000000000003</v>
      </c>
      <c r="M26" s="18">
        <v>0</v>
      </c>
      <c r="N26" s="19">
        <v>265.72000000000003</v>
      </c>
    </row>
    <row r="27" spans="1:14" ht="100" customHeight="1">
      <c r="A27" s="16" t="s">
        <v>93</v>
      </c>
      <c r="B27" s="16" t="s">
        <v>94</v>
      </c>
      <c r="C27" s="16" t="s">
        <v>21</v>
      </c>
      <c r="D27" s="16" t="s">
        <v>22</v>
      </c>
      <c r="E27" s="16" t="s">
        <v>23</v>
      </c>
      <c r="F27" s="16">
        <v>730</v>
      </c>
      <c r="G27" s="16" t="s">
        <v>24</v>
      </c>
      <c r="H27" s="16">
        <v>1</v>
      </c>
      <c r="I27" s="16" t="s">
        <v>95</v>
      </c>
      <c r="J27" s="17">
        <v>70.37</v>
      </c>
      <c r="K27" s="17">
        <v>70.37</v>
      </c>
      <c r="L27" s="17">
        <v>70.37</v>
      </c>
      <c r="M27" s="18">
        <v>0</v>
      </c>
      <c r="N27" s="19">
        <v>70.37</v>
      </c>
    </row>
    <row r="28" spans="1:14" ht="100" customHeight="1">
      <c r="A28" s="16" t="s">
        <v>96</v>
      </c>
      <c r="B28" s="16" t="s">
        <v>97</v>
      </c>
      <c r="C28" s="16" t="s">
        <v>21</v>
      </c>
      <c r="D28" s="16" t="s">
        <v>22</v>
      </c>
      <c r="E28" s="16" t="s">
        <v>23</v>
      </c>
      <c r="F28" s="16">
        <v>730</v>
      </c>
      <c r="G28" s="16" t="s">
        <v>24</v>
      </c>
      <c r="H28" s="16">
        <v>1</v>
      </c>
      <c r="I28" s="16" t="s">
        <v>98</v>
      </c>
      <c r="J28" s="17">
        <v>67.05</v>
      </c>
      <c r="K28" s="17">
        <v>67.05</v>
      </c>
      <c r="L28" s="17">
        <v>67.05</v>
      </c>
      <c r="M28" s="18">
        <v>0</v>
      </c>
      <c r="N28" s="19">
        <v>67.05</v>
      </c>
    </row>
    <row r="29" spans="1:14" ht="100" customHeight="1">
      <c r="A29" s="16" t="s">
        <v>99</v>
      </c>
      <c r="B29" s="16" t="s">
        <v>100</v>
      </c>
      <c r="C29" s="16" t="s">
        <v>21</v>
      </c>
      <c r="D29" s="16" t="s">
        <v>22</v>
      </c>
      <c r="E29" s="16" t="s">
        <v>101</v>
      </c>
      <c r="F29" s="16">
        <v>1</v>
      </c>
      <c r="G29" s="16" t="s">
        <v>102</v>
      </c>
      <c r="H29" s="16">
        <v>1</v>
      </c>
      <c r="I29" s="16" t="s">
        <v>103</v>
      </c>
      <c r="J29" s="17">
        <v>520.04999999999995</v>
      </c>
      <c r="K29" s="17">
        <v>520.04999999999995</v>
      </c>
      <c r="L29" s="17">
        <v>520.04999999999995</v>
      </c>
      <c r="M29" s="18">
        <v>0</v>
      </c>
      <c r="N29" s="19">
        <v>520.04999999999995</v>
      </c>
    </row>
    <row r="30" spans="1:14" ht="100" customHeight="1">
      <c r="A30" s="16" t="s">
        <v>104</v>
      </c>
      <c r="B30" s="16" t="s">
        <v>105</v>
      </c>
      <c r="C30" s="16" t="s">
        <v>21</v>
      </c>
      <c r="D30" s="16" t="s">
        <v>22</v>
      </c>
      <c r="E30" s="16" t="s">
        <v>101</v>
      </c>
      <c r="F30" s="16">
        <v>1</v>
      </c>
      <c r="G30" s="16" t="s">
        <v>102</v>
      </c>
      <c r="H30" s="16">
        <v>1</v>
      </c>
      <c r="I30" s="16" t="s">
        <v>106</v>
      </c>
      <c r="J30" s="17">
        <v>225.02</v>
      </c>
      <c r="K30" s="17">
        <v>225.02</v>
      </c>
      <c r="L30" s="17">
        <v>225.02</v>
      </c>
      <c r="M30" s="18">
        <v>0</v>
      </c>
      <c r="N30" s="19">
        <v>225.02</v>
      </c>
    </row>
    <row r="31" spans="1:14" ht="100" customHeight="1">
      <c r="A31" s="16" t="s">
        <v>107</v>
      </c>
      <c r="B31" s="16" t="s">
        <v>108</v>
      </c>
      <c r="C31" s="16" t="s">
        <v>21</v>
      </c>
      <c r="D31" s="16" t="s">
        <v>22</v>
      </c>
      <c r="E31" s="16" t="s">
        <v>101</v>
      </c>
      <c r="F31" s="16">
        <v>1</v>
      </c>
      <c r="G31" s="16" t="s">
        <v>102</v>
      </c>
      <c r="H31" s="16">
        <v>1</v>
      </c>
      <c r="I31" s="16" t="s">
        <v>109</v>
      </c>
      <c r="J31" s="17">
        <v>57.3</v>
      </c>
      <c r="K31" s="17">
        <v>57.3</v>
      </c>
      <c r="L31" s="17">
        <v>57.3</v>
      </c>
      <c r="M31" s="18">
        <v>0</v>
      </c>
      <c r="N31" s="19">
        <v>57.3</v>
      </c>
    </row>
    <row r="32" spans="1:14" ht="100" customHeight="1">
      <c r="A32" s="16" t="s">
        <v>110</v>
      </c>
      <c r="B32" s="16" t="s">
        <v>111</v>
      </c>
      <c r="C32" s="16" t="s">
        <v>21</v>
      </c>
      <c r="D32" s="16" t="s">
        <v>22</v>
      </c>
      <c r="E32" s="16" t="s">
        <v>23</v>
      </c>
      <c r="F32" s="16">
        <v>730</v>
      </c>
      <c r="G32" s="16" t="s">
        <v>24</v>
      </c>
      <c r="H32" s="16">
        <v>1</v>
      </c>
      <c r="I32" s="16" t="s">
        <v>112</v>
      </c>
      <c r="J32" s="17">
        <v>86.59</v>
      </c>
      <c r="K32" s="17">
        <v>86.59</v>
      </c>
      <c r="L32" s="17">
        <v>86.59</v>
      </c>
      <c r="M32" s="18">
        <v>0</v>
      </c>
      <c r="N32" s="19">
        <v>86.59</v>
      </c>
    </row>
    <row r="33" spans="1:14" ht="100" customHeight="1">
      <c r="A33" s="16" t="s">
        <v>113</v>
      </c>
      <c r="B33" s="16" t="s">
        <v>114</v>
      </c>
      <c r="C33" s="16" t="s">
        <v>21</v>
      </c>
      <c r="D33" s="16" t="s">
        <v>22</v>
      </c>
      <c r="E33" s="16" t="s">
        <v>23</v>
      </c>
      <c r="F33" s="16">
        <v>730</v>
      </c>
      <c r="G33" s="16" t="s">
        <v>24</v>
      </c>
      <c r="H33" s="16">
        <v>1</v>
      </c>
      <c r="I33" s="16" t="s">
        <v>115</v>
      </c>
      <c r="J33" s="17">
        <v>2876.4</v>
      </c>
      <c r="K33" s="17">
        <v>2876.4</v>
      </c>
      <c r="L33" s="17">
        <v>2876.4</v>
      </c>
      <c r="M33" s="18">
        <v>0</v>
      </c>
      <c r="N33" s="19">
        <v>2876.4</v>
      </c>
    </row>
    <row r="34" spans="1:14" ht="100" customHeight="1">
      <c r="A34" s="16" t="s">
        <v>116</v>
      </c>
      <c r="B34" s="16" t="s">
        <v>117</v>
      </c>
      <c r="C34" s="16" t="s">
        <v>21</v>
      </c>
      <c r="D34" s="16" t="s">
        <v>22</v>
      </c>
      <c r="E34" s="16" t="s">
        <v>23</v>
      </c>
      <c r="F34" s="16">
        <v>730</v>
      </c>
      <c r="G34" s="16" t="s">
        <v>24</v>
      </c>
      <c r="H34" s="16">
        <v>1</v>
      </c>
      <c r="I34" s="16" t="s">
        <v>118</v>
      </c>
      <c r="J34" s="17">
        <v>4643.59</v>
      </c>
      <c r="K34" s="17">
        <v>4643.59</v>
      </c>
      <c r="L34" s="17">
        <v>4643.59</v>
      </c>
      <c r="M34" s="18">
        <v>0</v>
      </c>
      <c r="N34" s="19">
        <v>4643.59</v>
      </c>
    </row>
    <row r="35" spans="1:14" ht="100" customHeight="1">
      <c r="A35" s="16" t="s">
        <v>119</v>
      </c>
      <c r="B35" s="16" t="s">
        <v>120</v>
      </c>
      <c r="C35" s="16" t="s">
        <v>21</v>
      </c>
      <c r="D35" s="16" t="s">
        <v>22</v>
      </c>
      <c r="E35" s="16" t="s">
        <v>23</v>
      </c>
      <c r="F35" s="16">
        <v>730</v>
      </c>
      <c r="G35" s="16" t="s">
        <v>24</v>
      </c>
      <c r="H35" s="16">
        <v>1</v>
      </c>
      <c r="I35" s="16" t="s">
        <v>25</v>
      </c>
      <c r="J35" s="17">
        <v>160.88999999999999</v>
      </c>
      <c r="K35" s="17">
        <v>160.88999999999999</v>
      </c>
      <c r="L35" s="17">
        <v>160.88999999999999</v>
      </c>
      <c r="M35" s="18">
        <v>0</v>
      </c>
      <c r="N35" s="19">
        <v>160.88999999999999</v>
      </c>
    </row>
    <row r="36" spans="1:14" ht="100" customHeight="1">
      <c r="A36" s="16" t="s">
        <v>121</v>
      </c>
      <c r="B36" s="16" t="s">
        <v>122</v>
      </c>
      <c r="C36" s="16" t="s">
        <v>21</v>
      </c>
      <c r="D36" s="16" t="s">
        <v>22</v>
      </c>
      <c r="E36" s="16" t="s">
        <v>101</v>
      </c>
      <c r="F36" s="16">
        <v>1</v>
      </c>
      <c r="G36" s="16" t="s">
        <v>102</v>
      </c>
      <c r="H36" s="16">
        <v>1</v>
      </c>
      <c r="I36" s="16" t="s">
        <v>123</v>
      </c>
      <c r="J36" s="17">
        <v>450</v>
      </c>
      <c r="K36" s="17">
        <v>450</v>
      </c>
      <c r="L36" s="17">
        <v>450</v>
      </c>
      <c r="M36" s="18">
        <v>0</v>
      </c>
      <c r="N36" s="19">
        <v>450</v>
      </c>
    </row>
    <row r="37" spans="1:14" ht="100" customHeight="1">
      <c r="A37" s="16" t="s">
        <v>99</v>
      </c>
      <c r="B37" s="16" t="s">
        <v>100</v>
      </c>
      <c r="C37" s="16" t="s">
        <v>21</v>
      </c>
      <c r="D37" s="16" t="s">
        <v>22</v>
      </c>
      <c r="E37" s="16" t="s">
        <v>101</v>
      </c>
      <c r="F37" s="16">
        <v>1</v>
      </c>
      <c r="G37" s="16" t="s">
        <v>102</v>
      </c>
      <c r="H37" s="16">
        <v>1</v>
      </c>
      <c r="I37" s="16" t="s">
        <v>124</v>
      </c>
      <c r="J37" s="17">
        <v>258.04000000000002</v>
      </c>
      <c r="K37" s="17">
        <v>258.04000000000002</v>
      </c>
      <c r="L37" s="17">
        <v>258.04000000000002</v>
      </c>
      <c r="M37" s="18">
        <v>0</v>
      </c>
      <c r="N37" s="19">
        <v>258.04000000000002</v>
      </c>
    </row>
    <row r="38" spans="1:14" ht="40" customHeight="1" thickBot="1">
      <c r="A38" s="115" t="s">
        <v>125</v>
      </c>
      <c r="B38" s="115"/>
      <c r="C38" s="115"/>
      <c r="D38" s="115"/>
      <c r="E38" s="115"/>
      <c r="F38" s="115"/>
      <c r="G38" s="115"/>
      <c r="H38" s="115"/>
      <c r="I38" s="115"/>
      <c r="J38" s="21">
        <f>SUM(J3:J37)</f>
        <v>12781.99</v>
      </c>
      <c r="K38" s="21">
        <f t="shared" ref="K38:L38" si="0">SUM(K3:K37)</f>
        <v>12781.99</v>
      </c>
      <c r="L38" s="21">
        <f t="shared" si="0"/>
        <v>13021.140000000001</v>
      </c>
      <c r="M38" s="22">
        <v>0</v>
      </c>
      <c r="N38" s="23">
        <f>SUM(N3:N37)</f>
        <v>13021.140000000001</v>
      </c>
    </row>
    <row r="39" spans="1:14" ht="40" customHeight="1" thickBot="1">
      <c r="A39" s="116" t="s">
        <v>125</v>
      </c>
      <c r="B39" s="116"/>
      <c r="C39" s="116"/>
      <c r="D39" s="116"/>
      <c r="E39" s="116"/>
      <c r="F39" s="116"/>
      <c r="G39" s="116"/>
      <c r="H39" s="116"/>
      <c r="I39" s="116"/>
      <c r="J39" s="24"/>
      <c r="K39" s="24"/>
      <c r="L39" s="24"/>
      <c r="M39" s="25"/>
      <c r="N39" s="26">
        <f>N38</f>
        <v>13021.140000000001</v>
      </c>
    </row>
    <row r="40" spans="1:14" ht="16.3">
      <c r="A40" s="117" t="s">
        <v>126</v>
      </c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</row>
    <row r="44" spans="1:14">
      <c r="B44" s="28" t="s">
        <v>127</v>
      </c>
      <c r="C44" s="27">
        <f>SUM(N3:N28,N34,N35,N37,N29:N32)</f>
        <v>9694.739999999998</v>
      </c>
    </row>
    <row r="45" spans="1:14">
      <c r="C45" s="62">
        <f>C44/31</f>
        <v>312.73354838709673</v>
      </c>
    </row>
    <row r="47" spans="1:14">
      <c r="B47" s="28" t="s">
        <v>184</v>
      </c>
      <c r="C47" s="27">
        <f>SUM(N3:N35)</f>
        <v>12313.1</v>
      </c>
    </row>
    <row r="48" spans="1:14">
      <c r="B48" s="57" t="s">
        <v>185</v>
      </c>
      <c r="C48" s="62">
        <f>C47/30</f>
        <v>410.43666666666667</v>
      </c>
    </row>
  </sheetData>
  <mergeCells count="4">
    <mergeCell ref="A1:N1"/>
    <mergeCell ref="A38:I38"/>
    <mergeCell ref="A39:I39"/>
    <mergeCell ref="A40:N40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136F1-7587-426F-BBF7-A0D5CB75095D}">
  <sheetPr>
    <pageSetUpPr fitToPage="1"/>
  </sheetPr>
  <dimension ref="A1:P52"/>
  <sheetViews>
    <sheetView topLeftCell="A34" zoomScale="55" zoomScaleNormal="55" workbookViewId="0">
      <selection activeCell="D53" sqref="D53"/>
    </sheetView>
  </sheetViews>
  <sheetFormatPr defaultColWidth="8.5703125" defaultRowHeight="14.6"/>
  <cols>
    <col min="1" max="1" width="34.28515625" style="63" customWidth="1"/>
    <col min="2" max="3" width="27.85546875" style="63" customWidth="1"/>
    <col min="4" max="4" width="18.5703125" style="63" customWidth="1"/>
    <col min="5" max="5" width="18.5703125" style="63" hidden="1" customWidth="1"/>
    <col min="6" max="6" width="22.92578125" style="63" customWidth="1"/>
    <col min="7" max="7" width="23.140625" style="63" customWidth="1"/>
    <col min="8" max="8" width="9.5" style="63" hidden="1" customWidth="1"/>
    <col min="9" max="9" width="11.7109375" style="63" customWidth="1"/>
    <col min="10" max="10" width="40.640625" style="63" bestFit="1" customWidth="1"/>
    <col min="11" max="12" width="16.5" style="63" customWidth="1"/>
    <col min="13" max="13" width="17" style="63" customWidth="1"/>
    <col min="14" max="14" width="15.5703125" style="63" customWidth="1"/>
    <col min="15" max="15" width="14.5703125" style="63" customWidth="1"/>
    <col min="16" max="16" width="15.140625" style="63" customWidth="1"/>
    <col min="17" max="16384" width="8.5703125" style="63"/>
  </cols>
  <sheetData>
    <row r="1" spans="1:16" ht="15" thickBot="1"/>
    <row r="2" spans="1:16" s="64" customFormat="1" ht="19.75">
      <c r="A2" s="118" t="str">
        <f ca="1">"Price Calculator "&amp;TEXT(TODAY(),"mmm dd, yyyy")</f>
        <v>Price Calculator Mar 19, 2026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20"/>
    </row>
    <row r="3" spans="1:16" s="69" customFormat="1" ht="32.6">
      <c r="A3" s="65" t="s">
        <v>197</v>
      </c>
      <c r="B3" s="66" t="s">
        <v>5</v>
      </c>
      <c r="C3" s="66" t="s">
        <v>6</v>
      </c>
      <c r="D3" s="66" t="s">
        <v>7</v>
      </c>
      <c r="E3" s="66" t="s">
        <v>8</v>
      </c>
      <c r="F3" s="66" t="s">
        <v>9</v>
      </c>
      <c r="G3" s="66" t="s">
        <v>10</v>
      </c>
      <c r="H3" s="66" t="s">
        <v>11</v>
      </c>
      <c r="I3" s="66" t="s">
        <v>12</v>
      </c>
      <c r="J3" s="66" t="s">
        <v>13</v>
      </c>
      <c r="K3" s="67" t="s">
        <v>198</v>
      </c>
      <c r="L3" s="67" t="s">
        <v>15</v>
      </c>
      <c r="M3" s="67" t="s">
        <v>16</v>
      </c>
      <c r="N3" s="67" t="s">
        <v>17</v>
      </c>
      <c r="O3" s="67" t="s">
        <v>18</v>
      </c>
      <c r="P3" s="68" t="s">
        <v>199</v>
      </c>
    </row>
    <row r="4" spans="1:16" s="77" customFormat="1" ht="100.1" customHeight="1">
      <c r="A4" s="70" t="str">
        <f>C4</f>
        <v>CDP-AD365-01</v>
      </c>
      <c r="B4" s="71" t="s">
        <v>19</v>
      </c>
      <c r="C4" s="71" t="s">
        <v>20</v>
      </c>
      <c r="D4" s="71" t="s">
        <v>21</v>
      </c>
      <c r="E4" s="71" t="s">
        <v>22</v>
      </c>
      <c r="F4" s="71" t="s">
        <v>200</v>
      </c>
      <c r="G4" s="71">
        <v>1</v>
      </c>
      <c r="H4" s="71"/>
      <c r="I4" s="71">
        <v>1</v>
      </c>
      <c r="J4" s="71" t="s">
        <v>201</v>
      </c>
      <c r="K4" s="72">
        <v>3132.43</v>
      </c>
      <c r="L4" s="73">
        <v>3132.43</v>
      </c>
      <c r="M4" s="74">
        <v>3132.43</v>
      </c>
      <c r="N4" s="72">
        <v>0</v>
      </c>
      <c r="O4" s="75">
        <v>3132.43</v>
      </c>
      <c r="P4" s="76">
        <f>O4/36</f>
        <v>87.011944444444438</v>
      </c>
    </row>
    <row r="5" spans="1:16" s="77" customFormat="1" ht="100.1" customHeight="1">
      <c r="A5" s="78" t="str">
        <f t="shared" ref="A5" si="0">C5</f>
        <v>CDP-APPSRV-01</v>
      </c>
      <c r="B5" s="79" t="s">
        <v>26</v>
      </c>
      <c r="C5" s="79" t="s">
        <v>27</v>
      </c>
      <c r="D5" s="79" t="s">
        <v>21</v>
      </c>
      <c r="E5" s="79" t="s">
        <v>22</v>
      </c>
      <c r="F5" s="79" t="s">
        <v>200</v>
      </c>
      <c r="G5" s="79">
        <v>1</v>
      </c>
      <c r="H5" s="79"/>
      <c r="I5" s="79">
        <v>1</v>
      </c>
      <c r="J5" s="79" t="s">
        <v>202</v>
      </c>
      <c r="K5" s="80">
        <v>2420.2800000000002</v>
      </c>
      <c r="L5" s="80">
        <v>2420.2800000000002</v>
      </c>
      <c r="M5" s="80">
        <v>2420.2800000000002</v>
      </c>
      <c r="N5" s="80">
        <v>0</v>
      </c>
      <c r="O5" s="81">
        <v>2420.2800000000002</v>
      </c>
      <c r="P5" s="82">
        <f t="shared" ref="P5:P31" si="1">O5/36</f>
        <v>67.23</v>
      </c>
    </row>
    <row r="6" spans="1:16" s="77" customFormat="1" ht="100.1" customHeight="1">
      <c r="A6" s="70" t="str">
        <f>C6</f>
        <v>CDP-APPSRV-03</v>
      </c>
      <c r="B6" s="71" t="s">
        <v>29</v>
      </c>
      <c r="C6" s="71" t="s">
        <v>30</v>
      </c>
      <c r="D6" s="71" t="s">
        <v>21</v>
      </c>
      <c r="E6" s="71" t="s">
        <v>22</v>
      </c>
      <c r="F6" s="71" t="s">
        <v>200</v>
      </c>
      <c r="G6" s="71">
        <v>1</v>
      </c>
      <c r="H6" s="71"/>
      <c r="I6" s="71">
        <v>1</v>
      </c>
      <c r="J6" s="71" t="s">
        <v>203</v>
      </c>
      <c r="K6" s="72">
        <v>1771.2</v>
      </c>
      <c r="L6" s="73">
        <v>1771.2</v>
      </c>
      <c r="M6" s="74">
        <v>1771.2</v>
      </c>
      <c r="N6" s="72">
        <v>0</v>
      </c>
      <c r="O6" s="75">
        <v>1771.2</v>
      </c>
      <c r="P6" s="76">
        <f t="shared" si="1"/>
        <v>49.2</v>
      </c>
    </row>
    <row r="7" spans="1:16" s="77" customFormat="1" ht="100.1" customHeight="1">
      <c r="A7" s="78" t="str">
        <f>C7</f>
        <v>CDP-DB-OP</v>
      </c>
      <c r="B7" s="79" t="s">
        <v>32</v>
      </c>
      <c r="C7" s="79" t="s">
        <v>33</v>
      </c>
      <c r="D7" s="79" t="s">
        <v>21</v>
      </c>
      <c r="E7" s="79" t="s">
        <v>22</v>
      </c>
      <c r="F7" s="79" t="s">
        <v>200</v>
      </c>
      <c r="G7" s="79">
        <v>1</v>
      </c>
      <c r="H7" s="79"/>
      <c r="I7" s="79">
        <v>1</v>
      </c>
      <c r="J7" s="79" t="s">
        <v>204</v>
      </c>
      <c r="K7" s="80">
        <v>2835.79</v>
      </c>
      <c r="L7" s="80">
        <v>2835.79</v>
      </c>
      <c r="M7" s="80">
        <v>2835.79</v>
      </c>
      <c r="N7" s="80">
        <v>0</v>
      </c>
      <c r="O7" s="81">
        <v>2835.79</v>
      </c>
      <c r="P7" s="82">
        <f t="shared" si="1"/>
        <v>78.771944444444443</v>
      </c>
    </row>
    <row r="8" spans="1:16" s="77" customFormat="1" ht="100.1" customHeight="1">
      <c r="A8" s="70" t="str">
        <f t="shared" ref="A8:A31" si="2">C8</f>
        <v>CDP-DC-1.0</v>
      </c>
      <c r="B8" s="71" t="s">
        <v>35</v>
      </c>
      <c r="C8" s="71" t="s">
        <v>36</v>
      </c>
      <c r="D8" s="71" t="s">
        <v>21</v>
      </c>
      <c r="E8" s="71" t="s">
        <v>22</v>
      </c>
      <c r="F8" s="71" t="s">
        <v>200</v>
      </c>
      <c r="G8" s="71">
        <v>1</v>
      </c>
      <c r="H8" s="71"/>
      <c r="I8" s="71">
        <v>1</v>
      </c>
      <c r="J8" s="71" t="s">
        <v>205</v>
      </c>
      <c r="K8" s="72">
        <v>1565.39</v>
      </c>
      <c r="L8" s="73">
        <v>1565.39</v>
      </c>
      <c r="M8" s="74">
        <v>1565.39</v>
      </c>
      <c r="N8" s="72">
        <v>0</v>
      </c>
      <c r="O8" s="75">
        <v>1565.39</v>
      </c>
      <c r="P8" s="76">
        <f t="shared" si="1"/>
        <v>43.483055555555559</v>
      </c>
    </row>
    <row r="9" spans="1:16" s="77" customFormat="1" ht="100.1" customHeight="1">
      <c r="A9" s="78" t="str">
        <f t="shared" si="2"/>
        <v>CDP-DC-1.1</v>
      </c>
      <c r="B9" s="79" t="s">
        <v>38</v>
      </c>
      <c r="C9" s="79" t="s">
        <v>39</v>
      </c>
      <c r="D9" s="79" t="s">
        <v>21</v>
      </c>
      <c r="E9" s="79" t="s">
        <v>22</v>
      </c>
      <c r="F9" s="79" t="s">
        <v>200</v>
      </c>
      <c r="G9" s="79">
        <v>1</v>
      </c>
      <c r="H9" s="79"/>
      <c r="I9" s="79">
        <v>1</v>
      </c>
      <c r="J9" s="79" t="s">
        <v>206</v>
      </c>
      <c r="K9" s="80">
        <v>1602.97</v>
      </c>
      <c r="L9" s="80">
        <v>1602.97</v>
      </c>
      <c r="M9" s="80">
        <v>1602.97</v>
      </c>
      <c r="N9" s="80">
        <v>0</v>
      </c>
      <c r="O9" s="81">
        <v>1602.97</v>
      </c>
      <c r="P9" s="82">
        <f t="shared" si="1"/>
        <v>44.526944444444446</v>
      </c>
    </row>
    <row r="10" spans="1:16" s="77" customFormat="1" ht="100.1" customHeight="1">
      <c r="A10" s="70" t="str">
        <f t="shared" si="2"/>
        <v>CDP-FS-01</v>
      </c>
      <c r="B10" s="71" t="s">
        <v>41</v>
      </c>
      <c r="C10" s="71" t="s">
        <v>42</v>
      </c>
      <c r="D10" s="71" t="s">
        <v>21</v>
      </c>
      <c r="E10" s="71" t="s">
        <v>22</v>
      </c>
      <c r="F10" s="71" t="s">
        <v>200</v>
      </c>
      <c r="G10" s="71">
        <v>1</v>
      </c>
      <c r="H10" s="71"/>
      <c r="I10" s="71">
        <v>1</v>
      </c>
      <c r="J10" s="71" t="s">
        <v>207</v>
      </c>
      <c r="K10" s="72">
        <v>19231.849999999999</v>
      </c>
      <c r="L10" s="73">
        <v>19231.849999999999</v>
      </c>
      <c r="M10" s="74">
        <v>19231.849999999999</v>
      </c>
      <c r="N10" s="72">
        <v>0</v>
      </c>
      <c r="O10" s="75">
        <v>19231.849999999999</v>
      </c>
      <c r="P10" s="76">
        <f t="shared" si="1"/>
        <v>534.21805555555557</v>
      </c>
    </row>
    <row r="11" spans="1:16" s="77" customFormat="1" ht="100.1" customHeight="1">
      <c r="A11" s="78" t="str">
        <f t="shared" si="2"/>
        <v>CDP-NewCrosh-01</v>
      </c>
      <c r="B11" s="79" t="s">
        <v>44</v>
      </c>
      <c r="C11" s="79" t="s">
        <v>45</v>
      </c>
      <c r="D11" s="79" t="s">
        <v>21</v>
      </c>
      <c r="E11" s="79" t="s">
        <v>22</v>
      </c>
      <c r="F11" s="79" t="s">
        <v>200</v>
      </c>
      <c r="G11" s="79">
        <v>1</v>
      </c>
      <c r="H11" s="79"/>
      <c r="I11" s="79">
        <v>1</v>
      </c>
      <c r="J11" s="79" t="s">
        <v>208</v>
      </c>
      <c r="K11" s="80">
        <v>2580.62</v>
      </c>
      <c r="L11" s="80">
        <v>2580.62</v>
      </c>
      <c r="M11" s="80">
        <v>2580.62</v>
      </c>
      <c r="N11" s="80">
        <v>0</v>
      </c>
      <c r="O11" s="81">
        <v>2580.62</v>
      </c>
      <c r="P11" s="82">
        <f>O11/36</f>
        <v>71.683888888888887</v>
      </c>
    </row>
    <row r="12" spans="1:16" s="77" customFormat="1" ht="100.1" customHeight="1">
      <c r="A12" s="70" t="str">
        <f t="shared" si="2"/>
        <v>CDP-SRVME-01</v>
      </c>
      <c r="B12" s="71" t="s">
        <v>47</v>
      </c>
      <c r="C12" s="71" t="s">
        <v>48</v>
      </c>
      <c r="D12" s="71" t="s">
        <v>21</v>
      </c>
      <c r="E12" s="71" t="s">
        <v>22</v>
      </c>
      <c r="F12" s="71" t="s">
        <v>200</v>
      </c>
      <c r="G12" s="71">
        <v>1</v>
      </c>
      <c r="H12" s="71"/>
      <c r="I12" s="71">
        <v>1</v>
      </c>
      <c r="J12" s="71" t="s">
        <v>209</v>
      </c>
      <c r="K12" s="72">
        <v>1978.74</v>
      </c>
      <c r="L12" s="73">
        <v>1978.74</v>
      </c>
      <c r="M12" s="74">
        <v>1978.74</v>
      </c>
      <c r="N12" s="72">
        <v>0</v>
      </c>
      <c r="O12" s="75">
        <v>1978.74</v>
      </c>
      <c r="P12" s="76">
        <f t="shared" si="1"/>
        <v>54.965000000000003</v>
      </c>
    </row>
    <row r="13" spans="1:16" s="77" customFormat="1" ht="100.1" customHeight="1">
      <c r="A13" s="78" t="str">
        <f t="shared" si="2"/>
        <v>CDP-NW-OBRAS</v>
      </c>
      <c r="B13" s="79" t="s">
        <v>50</v>
      </c>
      <c r="C13" s="79" t="s">
        <v>51</v>
      </c>
      <c r="D13" s="79" t="s">
        <v>21</v>
      </c>
      <c r="E13" s="79" t="s">
        <v>22</v>
      </c>
      <c r="F13" s="79" t="s">
        <v>200</v>
      </c>
      <c r="G13" s="79">
        <v>1</v>
      </c>
      <c r="H13" s="79"/>
      <c r="I13" s="79">
        <v>1</v>
      </c>
      <c r="J13" s="79" t="s">
        <v>210</v>
      </c>
      <c r="K13" s="80">
        <v>2354.58</v>
      </c>
      <c r="L13" s="80">
        <v>2354.58</v>
      </c>
      <c r="M13" s="80">
        <v>2354.58</v>
      </c>
      <c r="N13" s="80">
        <v>0</v>
      </c>
      <c r="O13" s="81">
        <v>2354.58</v>
      </c>
      <c r="P13" s="82">
        <f t="shared" si="1"/>
        <v>65.405000000000001</v>
      </c>
    </row>
    <row r="14" spans="1:16" s="77" customFormat="1" ht="100.1" customHeight="1">
      <c r="A14" s="70" t="str">
        <f t="shared" si="2"/>
        <v>CDP-PRTSRV-01</v>
      </c>
      <c r="B14" s="71" t="s">
        <v>53</v>
      </c>
      <c r="C14" s="71" t="s">
        <v>54</v>
      </c>
      <c r="D14" s="71" t="s">
        <v>21</v>
      </c>
      <c r="E14" s="71" t="s">
        <v>22</v>
      </c>
      <c r="F14" s="71" t="s">
        <v>200</v>
      </c>
      <c r="G14" s="71">
        <v>1</v>
      </c>
      <c r="H14" s="71"/>
      <c r="I14" s="71">
        <v>1</v>
      </c>
      <c r="J14" s="71" t="s">
        <v>211</v>
      </c>
      <c r="K14" s="72">
        <v>970.19</v>
      </c>
      <c r="L14" s="73">
        <v>970.19</v>
      </c>
      <c r="M14" s="74">
        <v>970.19</v>
      </c>
      <c r="N14" s="72">
        <v>0</v>
      </c>
      <c r="O14" s="75">
        <v>970.19</v>
      </c>
      <c r="P14" s="76">
        <f t="shared" si="1"/>
        <v>26.949722222222224</v>
      </c>
    </row>
    <row r="15" spans="1:16" s="77" customFormat="1" ht="100.1" customHeight="1">
      <c r="A15" s="78" t="str">
        <f t="shared" si="2"/>
        <v>CDP-SAP-03</v>
      </c>
      <c r="B15" s="79" t="s">
        <v>56</v>
      </c>
      <c r="C15" s="79" t="s">
        <v>57</v>
      </c>
      <c r="D15" s="79" t="s">
        <v>21</v>
      </c>
      <c r="E15" s="79" t="s">
        <v>22</v>
      </c>
      <c r="F15" s="79" t="s">
        <v>200</v>
      </c>
      <c r="G15" s="79">
        <v>1</v>
      </c>
      <c r="H15" s="79"/>
      <c r="I15" s="79">
        <v>1</v>
      </c>
      <c r="J15" s="79" t="s">
        <v>212</v>
      </c>
      <c r="K15" s="80">
        <v>4304.74</v>
      </c>
      <c r="L15" s="80">
        <v>4304.74</v>
      </c>
      <c r="M15" s="80">
        <v>4304.74</v>
      </c>
      <c r="N15" s="80">
        <v>0</v>
      </c>
      <c r="O15" s="81">
        <v>4304.74</v>
      </c>
      <c r="P15" s="82">
        <f t="shared" si="1"/>
        <v>119.5761111111111</v>
      </c>
    </row>
    <row r="16" spans="1:16" s="77" customFormat="1" ht="100.1" customHeight="1">
      <c r="A16" s="70" t="str">
        <f t="shared" si="2"/>
        <v>CDP-SAP-04</v>
      </c>
      <c r="B16" s="71" t="s">
        <v>59</v>
      </c>
      <c r="C16" s="71" t="s">
        <v>60</v>
      </c>
      <c r="D16" s="71" t="s">
        <v>21</v>
      </c>
      <c r="E16" s="71" t="s">
        <v>22</v>
      </c>
      <c r="F16" s="71" t="s">
        <v>200</v>
      </c>
      <c r="G16" s="71">
        <v>1</v>
      </c>
      <c r="H16" s="71"/>
      <c r="I16" s="71">
        <v>1</v>
      </c>
      <c r="J16" s="71" t="s">
        <v>213</v>
      </c>
      <c r="K16" s="72">
        <v>4065.59</v>
      </c>
      <c r="L16" s="73">
        <v>4065.59</v>
      </c>
      <c r="M16" s="74">
        <v>4065.59</v>
      </c>
      <c r="N16" s="72">
        <v>0</v>
      </c>
      <c r="O16" s="75">
        <v>4065.59</v>
      </c>
      <c r="P16" s="76">
        <f t="shared" si="1"/>
        <v>112.93305555555555</v>
      </c>
    </row>
    <row r="17" spans="1:16" s="77" customFormat="1" ht="100.1" customHeight="1">
      <c r="A17" s="78" t="str">
        <f t="shared" si="2"/>
        <v>CDP-SAP-05</v>
      </c>
      <c r="B17" s="79" t="s">
        <v>62</v>
      </c>
      <c r="C17" s="79" t="s">
        <v>63</v>
      </c>
      <c r="D17" s="79" t="s">
        <v>21</v>
      </c>
      <c r="E17" s="79" t="s">
        <v>22</v>
      </c>
      <c r="F17" s="79" t="s">
        <v>200</v>
      </c>
      <c r="G17" s="79">
        <v>1</v>
      </c>
      <c r="H17" s="79"/>
      <c r="I17" s="79">
        <v>1</v>
      </c>
      <c r="J17" s="79" t="s">
        <v>213</v>
      </c>
      <c r="K17" s="80">
        <v>4065.59</v>
      </c>
      <c r="L17" s="80">
        <v>4065.59</v>
      </c>
      <c r="M17" s="80">
        <v>4065.59</v>
      </c>
      <c r="N17" s="80">
        <v>0</v>
      </c>
      <c r="O17" s="81">
        <v>4065.59</v>
      </c>
      <c r="P17" s="82">
        <f t="shared" si="1"/>
        <v>112.93305555555555</v>
      </c>
    </row>
    <row r="18" spans="1:16" s="77" customFormat="1" ht="100.1" customHeight="1">
      <c r="A18" s="70" t="str">
        <f t="shared" si="2"/>
        <v>CDP-SAP-06</v>
      </c>
      <c r="B18" s="71" t="s">
        <v>64</v>
      </c>
      <c r="C18" s="71" t="s">
        <v>65</v>
      </c>
      <c r="D18" s="71" t="s">
        <v>21</v>
      </c>
      <c r="E18" s="71" t="s">
        <v>22</v>
      </c>
      <c r="F18" s="71" t="s">
        <v>200</v>
      </c>
      <c r="G18" s="71">
        <v>1</v>
      </c>
      <c r="H18" s="71"/>
      <c r="I18" s="71">
        <v>1</v>
      </c>
      <c r="J18" s="71" t="s">
        <v>214</v>
      </c>
      <c r="K18" s="72">
        <v>2204.8200000000002</v>
      </c>
      <c r="L18" s="73">
        <v>2204.8200000000002</v>
      </c>
      <c r="M18" s="74">
        <v>2204.8200000000002</v>
      </c>
      <c r="N18" s="72">
        <v>0</v>
      </c>
      <c r="O18" s="75">
        <v>2204.8200000000002</v>
      </c>
      <c r="P18" s="76">
        <f t="shared" si="1"/>
        <v>61.245000000000005</v>
      </c>
    </row>
    <row r="19" spans="1:16" s="77" customFormat="1" ht="100.1" customHeight="1">
      <c r="A19" s="78" t="str">
        <f t="shared" si="2"/>
        <v>CDP-SAP-07</v>
      </c>
      <c r="B19" s="79" t="s">
        <v>67</v>
      </c>
      <c r="C19" s="79" t="s">
        <v>68</v>
      </c>
      <c r="D19" s="79" t="s">
        <v>21</v>
      </c>
      <c r="E19" s="79" t="s">
        <v>22</v>
      </c>
      <c r="F19" s="79" t="s">
        <v>200</v>
      </c>
      <c r="G19" s="79">
        <v>1</v>
      </c>
      <c r="H19" s="79"/>
      <c r="I19" s="79">
        <v>1</v>
      </c>
      <c r="J19" s="79" t="s">
        <v>215</v>
      </c>
      <c r="K19" s="80">
        <v>3826.44</v>
      </c>
      <c r="L19" s="80">
        <v>3826.44</v>
      </c>
      <c r="M19" s="80">
        <v>3826.44</v>
      </c>
      <c r="N19" s="80">
        <v>0</v>
      </c>
      <c r="O19" s="81">
        <v>3826.44</v>
      </c>
      <c r="P19" s="82">
        <f t="shared" si="1"/>
        <v>106.29</v>
      </c>
    </row>
    <row r="20" spans="1:16" s="77" customFormat="1" ht="100.1" customHeight="1">
      <c r="A20" s="70" t="str">
        <f t="shared" si="2"/>
        <v>CDP-SAP-08</v>
      </c>
      <c r="B20" s="71" t="s">
        <v>70</v>
      </c>
      <c r="C20" s="71" t="s">
        <v>71</v>
      </c>
      <c r="D20" s="71" t="s">
        <v>21</v>
      </c>
      <c r="E20" s="71" t="s">
        <v>22</v>
      </c>
      <c r="F20" s="71" t="s">
        <v>200</v>
      </c>
      <c r="G20" s="71">
        <v>1</v>
      </c>
      <c r="H20" s="71"/>
      <c r="I20" s="71">
        <v>1</v>
      </c>
      <c r="J20" s="71" t="s">
        <v>215</v>
      </c>
      <c r="K20" s="72">
        <v>3826.44</v>
      </c>
      <c r="L20" s="73">
        <v>3826.44</v>
      </c>
      <c r="M20" s="74">
        <v>3826.44</v>
      </c>
      <c r="N20" s="72">
        <v>0</v>
      </c>
      <c r="O20" s="75">
        <v>3826.44</v>
      </c>
      <c r="P20" s="76">
        <f t="shared" si="1"/>
        <v>106.29</v>
      </c>
    </row>
    <row r="21" spans="1:16" s="77" customFormat="1" ht="100.1" customHeight="1">
      <c r="A21" s="78" t="str">
        <f t="shared" si="2"/>
        <v>CDP-UTC-01</v>
      </c>
      <c r="B21" s="79" t="s">
        <v>72</v>
      </c>
      <c r="C21" s="79" t="s">
        <v>73</v>
      </c>
      <c r="D21" s="79" t="s">
        <v>21</v>
      </c>
      <c r="E21" s="79" t="s">
        <v>22</v>
      </c>
      <c r="F21" s="79" t="s">
        <v>200</v>
      </c>
      <c r="G21" s="79">
        <v>1</v>
      </c>
      <c r="H21" s="79"/>
      <c r="I21" s="79">
        <v>1</v>
      </c>
      <c r="J21" s="79" t="s">
        <v>216</v>
      </c>
      <c r="K21" s="80">
        <v>1605.6</v>
      </c>
      <c r="L21" s="80">
        <v>1605.6</v>
      </c>
      <c r="M21" s="80">
        <v>1605.6</v>
      </c>
      <c r="N21" s="80">
        <v>0</v>
      </c>
      <c r="O21" s="81">
        <v>1605.6</v>
      </c>
      <c r="P21" s="82">
        <f t="shared" si="1"/>
        <v>44.599999999999994</v>
      </c>
    </row>
    <row r="22" spans="1:16" s="77" customFormat="1" ht="100.1" customHeight="1">
      <c r="A22" s="70" t="str">
        <f t="shared" si="2"/>
        <v>CDP-W10-CA</v>
      </c>
      <c r="B22" s="71" t="s">
        <v>75</v>
      </c>
      <c r="C22" s="71" t="s">
        <v>76</v>
      </c>
      <c r="D22" s="71" t="s">
        <v>21</v>
      </c>
      <c r="E22" s="71" t="s">
        <v>22</v>
      </c>
      <c r="F22" s="71" t="s">
        <v>200</v>
      </c>
      <c r="G22" s="71">
        <v>1</v>
      </c>
      <c r="H22" s="71"/>
      <c r="I22" s="71">
        <v>1</v>
      </c>
      <c r="J22" s="71" t="s">
        <v>217</v>
      </c>
      <c r="K22" s="72">
        <v>1571.4</v>
      </c>
      <c r="L22" s="73">
        <v>1571.4</v>
      </c>
      <c r="M22" s="74">
        <v>1571.4</v>
      </c>
      <c r="N22" s="72">
        <v>0</v>
      </c>
      <c r="O22" s="75">
        <v>1571.4</v>
      </c>
      <c r="P22" s="76">
        <f t="shared" si="1"/>
        <v>43.650000000000006</v>
      </c>
    </row>
    <row r="23" spans="1:16" s="77" customFormat="1" ht="100.1" customHeight="1">
      <c r="A23" s="78" t="str">
        <f t="shared" si="2"/>
        <v>CDPSPNSVR</v>
      </c>
      <c r="B23" s="79" t="s">
        <v>78</v>
      </c>
      <c r="C23" s="79" t="s">
        <v>79</v>
      </c>
      <c r="D23" s="79" t="s">
        <v>21</v>
      </c>
      <c r="E23" s="79" t="s">
        <v>22</v>
      </c>
      <c r="F23" s="79" t="s">
        <v>200</v>
      </c>
      <c r="G23" s="79">
        <v>1</v>
      </c>
      <c r="H23" s="79"/>
      <c r="I23" s="79">
        <v>1</v>
      </c>
      <c r="J23" s="79" t="s">
        <v>218</v>
      </c>
      <c r="K23" s="80">
        <v>4951.08</v>
      </c>
      <c r="L23" s="80">
        <v>4951.08</v>
      </c>
      <c r="M23" s="80">
        <v>4951.08</v>
      </c>
      <c r="N23" s="80">
        <v>0</v>
      </c>
      <c r="O23" s="81">
        <v>4951.08</v>
      </c>
      <c r="P23" s="82">
        <f t="shared" si="1"/>
        <v>137.53</v>
      </c>
    </row>
    <row r="24" spans="1:16" s="77" customFormat="1" ht="100.1" customHeight="1">
      <c r="A24" s="70" t="str">
        <f t="shared" si="2"/>
        <v>GLPI-SRVR</v>
      </c>
      <c r="B24" s="71" t="s">
        <v>81</v>
      </c>
      <c r="C24" s="71" t="s">
        <v>82</v>
      </c>
      <c r="D24" s="71" t="s">
        <v>21</v>
      </c>
      <c r="E24" s="71" t="s">
        <v>22</v>
      </c>
      <c r="F24" s="71" t="s">
        <v>200</v>
      </c>
      <c r="G24" s="71">
        <v>1</v>
      </c>
      <c r="H24" s="71"/>
      <c r="I24" s="71">
        <v>1</v>
      </c>
      <c r="J24" s="71" t="s">
        <v>219</v>
      </c>
      <c r="K24" s="72">
        <v>1153.6600000000001</v>
      </c>
      <c r="L24" s="73">
        <v>1153.6600000000001</v>
      </c>
      <c r="M24" s="74">
        <v>1153.6600000000001</v>
      </c>
      <c r="N24" s="72">
        <v>0</v>
      </c>
      <c r="O24" s="75">
        <v>1153.6600000000001</v>
      </c>
      <c r="P24" s="76">
        <f t="shared" si="1"/>
        <v>32.046111111111117</v>
      </c>
    </row>
    <row r="25" spans="1:16" s="77" customFormat="1" ht="100.1" customHeight="1">
      <c r="A25" s="78" t="str">
        <f t="shared" si="2"/>
        <v>NAGIOS SERVER</v>
      </c>
      <c r="B25" s="79" t="s">
        <v>84</v>
      </c>
      <c r="C25" s="79" t="s">
        <v>85</v>
      </c>
      <c r="D25" s="79" t="s">
        <v>21</v>
      </c>
      <c r="E25" s="79" t="s">
        <v>22</v>
      </c>
      <c r="F25" s="79" t="s">
        <v>200</v>
      </c>
      <c r="G25" s="79">
        <v>1</v>
      </c>
      <c r="H25" s="79"/>
      <c r="I25" s="79">
        <v>1</v>
      </c>
      <c r="J25" s="79" t="s">
        <v>220</v>
      </c>
      <c r="K25" s="80">
        <v>649.08000000000004</v>
      </c>
      <c r="L25" s="80">
        <v>649.08000000000004</v>
      </c>
      <c r="M25" s="80">
        <v>649.08000000000004</v>
      </c>
      <c r="N25" s="80">
        <v>0</v>
      </c>
      <c r="O25" s="81">
        <v>649.08000000000004</v>
      </c>
      <c r="P25" s="82">
        <f t="shared" si="1"/>
        <v>18.03</v>
      </c>
    </row>
    <row r="26" spans="1:16" s="77" customFormat="1" ht="100.1" customHeight="1">
      <c r="A26" s="70" t="str">
        <f t="shared" si="2"/>
        <v>New-Soft BD 220</v>
      </c>
      <c r="B26" s="71" t="s">
        <v>87</v>
      </c>
      <c r="C26" s="71" t="s">
        <v>88</v>
      </c>
      <c r="D26" s="71" t="s">
        <v>21</v>
      </c>
      <c r="E26" s="71" t="s">
        <v>22</v>
      </c>
      <c r="F26" s="71" t="s">
        <v>200</v>
      </c>
      <c r="G26" s="71">
        <v>1</v>
      </c>
      <c r="H26" s="71"/>
      <c r="I26" s="71">
        <v>1</v>
      </c>
      <c r="J26" s="71" t="s">
        <v>221</v>
      </c>
      <c r="K26" s="72">
        <v>1631.95</v>
      </c>
      <c r="L26" s="73">
        <v>1631.95</v>
      </c>
      <c r="M26" s="74">
        <v>1631.95</v>
      </c>
      <c r="N26" s="72">
        <v>0</v>
      </c>
      <c r="O26" s="75">
        <v>1631.95</v>
      </c>
      <c r="P26" s="76">
        <f t="shared" si="1"/>
        <v>45.331944444444446</v>
      </c>
    </row>
    <row r="27" spans="1:16" s="77" customFormat="1" ht="100.1" customHeight="1">
      <c r="A27" s="78" t="str">
        <f t="shared" si="2"/>
        <v>New-Soft BD 221-245</v>
      </c>
      <c r="B27" s="79" t="s">
        <v>90</v>
      </c>
      <c r="C27" s="79" t="s">
        <v>91</v>
      </c>
      <c r="D27" s="79" t="s">
        <v>21</v>
      </c>
      <c r="E27" s="79" t="s">
        <v>22</v>
      </c>
      <c r="F27" s="79" t="s">
        <v>200</v>
      </c>
      <c r="G27" s="79">
        <v>1</v>
      </c>
      <c r="H27" s="79"/>
      <c r="I27" s="79">
        <v>10</v>
      </c>
      <c r="J27" s="79" t="s">
        <v>222</v>
      </c>
      <c r="K27" s="80">
        <v>5807.52</v>
      </c>
      <c r="L27" s="80">
        <v>580.75</v>
      </c>
      <c r="M27" s="80">
        <v>5807.52</v>
      </c>
      <c r="N27" s="80">
        <v>0</v>
      </c>
      <c r="O27" s="81">
        <v>5807.52</v>
      </c>
      <c r="P27" s="82">
        <f t="shared" si="1"/>
        <v>161.32000000000002</v>
      </c>
    </row>
    <row r="28" spans="1:16" s="77" customFormat="1" ht="100.1" customHeight="1">
      <c r="A28" s="70" t="str">
        <f t="shared" si="2"/>
        <v>NEWSOFT-SUPPORT</v>
      </c>
      <c r="B28" s="71" t="s">
        <v>93</v>
      </c>
      <c r="C28" s="71" t="s">
        <v>94</v>
      </c>
      <c r="D28" s="71" t="s">
        <v>21</v>
      </c>
      <c r="E28" s="71" t="s">
        <v>22</v>
      </c>
      <c r="F28" s="71" t="s">
        <v>200</v>
      </c>
      <c r="G28" s="71">
        <v>1</v>
      </c>
      <c r="H28" s="71"/>
      <c r="I28" s="71">
        <v>1</v>
      </c>
      <c r="J28" s="71" t="s">
        <v>223</v>
      </c>
      <c r="K28" s="72">
        <v>1290.31</v>
      </c>
      <c r="L28" s="73">
        <v>1290.31</v>
      </c>
      <c r="M28" s="74">
        <v>1290.31</v>
      </c>
      <c r="N28" s="72">
        <v>0</v>
      </c>
      <c r="O28" s="75">
        <v>1290.31</v>
      </c>
      <c r="P28" s="76">
        <f t="shared" si="1"/>
        <v>35.841944444444444</v>
      </c>
    </row>
    <row r="29" spans="1:16" s="77" customFormat="1" ht="100.1" customHeight="1">
      <c r="A29" s="78" t="str">
        <f t="shared" si="2"/>
        <v>OCS-SRVR-01</v>
      </c>
      <c r="B29" s="79" t="s">
        <v>96</v>
      </c>
      <c r="C29" s="79" t="s">
        <v>97</v>
      </c>
      <c r="D29" s="79" t="s">
        <v>21</v>
      </c>
      <c r="E29" s="79" t="s">
        <v>22</v>
      </c>
      <c r="F29" s="79" t="s">
        <v>200</v>
      </c>
      <c r="G29" s="79">
        <v>1</v>
      </c>
      <c r="H29" s="79"/>
      <c r="I29" s="79">
        <v>1</v>
      </c>
      <c r="J29" s="79" t="s">
        <v>224</v>
      </c>
      <c r="K29" s="80">
        <v>1170.74</v>
      </c>
      <c r="L29" s="80">
        <v>1170.74</v>
      </c>
      <c r="M29" s="80">
        <v>1170.74</v>
      </c>
      <c r="N29" s="80">
        <v>0</v>
      </c>
      <c r="O29" s="81">
        <v>1170.74</v>
      </c>
      <c r="P29" s="82">
        <f t="shared" si="1"/>
        <v>32.520555555555553</v>
      </c>
    </row>
    <row r="30" spans="1:16" s="77" customFormat="1" ht="100.1" customHeight="1">
      <c r="A30" s="70" t="str">
        <f t="shared" si="2"/>
        <v>SAP 01 SERVER</v>
      </c>
      <c r="B30" s="71" t="s">
        <v>113</v>
      </c>
      <c r="C30" s="71" t="s">
        <v>114</v>
      </c>
      <c r="D30" s="71" t="s">
        <v>21</v>
      </c>
      <c r="E30" s="71" t="s">
        <v>22</v>
      </c>
      <c r="F30" s="71" t="s">
        <v>200</v>
      </c>
      <c r="G30" s="71">
        <v>1</v>
      </c>
      <c r="H30" s="71"/>
      <c r="I30" s="71">
        <v>1</v>
      </c>
      <c r="J30" s="71" t="s">
        <v>233</v>
      </c>
      <c r="K30" s="72">
        <v>48139.07</v>
      </c>
      <c r="L30" s="73">
        <v>48139.07</v>
      </c>
      <c r="M30" s="74">
        <v>48139.07</v>
      </c>
      <c r="N30" s="72">
        <v>0</v>
      </c>
      <c r="O30" s="75">
        <v>48139.07</v>
      </c>
      <c r="P30" s="76">
        <f t="shared" si="1"/>
        <v>1337.1963888888888</v>
      </c>
    </row>
    <row r="31" spans="1:16" s="77" customFormat="1" ht="100.1" customHeight="1">
      <c r="A31" s="78" t="str">
        <f t="shared" si="2"/>
        <v>SAP 02 SERVER</v>
      </c>
      <c r="B31" s="79" t="s">
        <v>116</v>
      </c>
      <c r="C31" s="79" t="s">
        <v>117</v>
      </c>
      <c r="D31" s="79" t="s">
        <v>21</v>
      </c>
      <c r="E31" s="79" t="s">
        <v>22</v>
      </c>
      <c r="F31" s="79" t="s">
        <v>200</v>
      </c>
      <c r="G31" s="79">
        <v>1</v>
      </c>
      <c r="H31" s="79"/>
      <c r="I31" s="79">
        <v>1</v>
      </c>
      <c r="J31" s="79" t="s">
        <v>225</v>
      </c>
      <c r="K31" s="80">
        <v>76768.789999999994</v>
      </c>
      <c r="L31" s="80">
        <v>76768.789999999994</v>
      </c>
      <c r="M31" s="80">
        <v>76768.789999999994</v>
      </c>
      <c r="N31" s="80">
        <v>0</v>
      </c>
      <c r="O31" s="81">
        <v>76768.789999999994</v>
      </c>
      <c r="P31" s="82">
        <f t="shared" si="1"/>
        <v>2132.4663888888886</v>
      </c>
    </row>
    <row r="32" spans="1:16" s="77" customFormat="1" ht="100.1" customHeight="1">
      <c r="A32" s="70" t="str">
        <f>C32</f>
        <v>New Server</v>
      </c>
      <c r="B32" s="71" t="s">
        <v>119</v>
      </c>
      <c r="C32" s="71" t="s">
        <v>120</v>
      </c>
      <c r="D32" s="71" t="s">
        <v>21</v>
      </c>
      <c r="E32" s="71" t="s">
        <v>22</v>
      </c>
      <c r="F32" s="71" t="s">
        <v>200</v>
      </c>
      <c r="G32" s="71">
        <v>1</v>
      </c>
      <c r="H32" s="71"/>
      <c r="I32" s="71">
        <v>1</v>
      </c>
      <c r="J32" s="71" t="s">
        <v>201</v>
      </c>
      <c r="K32" s="72">
        <v>3132.43</v>
      </c>
      <c r="L32" s="73">
        <v>3132.43</v>
      </c>
      <c r="M32" s="74">
        <v>3132.43</v>
      </c>
      <c r="N32" s="72">
        <v>0</v>
      </c>
      <c r="O32" s="75">
        <v>3132.43</v>
      </c>
      <c r="P32" s="76">
        <f>O32/36</f>
        <v>87.011944444444438</v>
      </c>
    </row>
    <row r="33" spans="1:16" s="77" customFormat="1" ht="100.1" customHeight="1">
      <c r="A33" s="78" t="s">
        <v>105</v>
      </c>
      <c r="B33" s="79" t="s">
        <v>104</v>
      </c>
      <c r="C33" s="79" t="s">
        <v>105</v>
      </c>
      <c r="D33" s="79" t="s">
        <v>21</v>
      </c>
      <c r="E33" s="79" t="s">
        <v>22</v>
      </c>
      <c r="F33" s="79" t="s">
        <v>101</v>
      </c>
      <c r="G33" s="79">
        <v>1</v>
      </c>
      <c r="H33" s="79" t="s">
        <v>102</v>
      </c>
      <c r="I33" s="79">
        <v>1</v>
      </c>
      <c r="J33" s="79" t="s">
        <v>106</v>
      </c>
      <c r="K33" s="80">
        <v>225.02</v>
      </c>
      <c r="L33" s="80">
        <v>225.02</v>
      </c>
      <c r="M33" s="80">
        <v>225.02</v>
      </c>
      <c r="N33" s="80">
        <v>0</v>
      </c>
      <c r="O33" s="81">
        <v>225.02</v>
      </c>
      <c r="P33" s="82">
        <f>M33</f>
        <v>225.02</v>
      </c>
    </row>
    <row r="34" spans="1:16" s="77" customFormat="1" ht="100.1" customHeight="1">
      <c r="A34" s="70" t="str">
        <f>C34</f>
        <v>NAT Gateway</v>
      </c>
      <c r="B34" s="71" t="s">
        <v>107</v>
      </c>
      <c r="C34" s="71" t="s">
        <v>108</v>
      </c>
      <c r="D34" s="71" t="s">
        <v>21</v>
      </c>
      <c r="E34" s="71" t="s">
        <v>22</v>
      </c>
      <c r="F34" s="71" t="s">
        <v>101</v>
      </c>
      <c r="G34" s="71">
        <v>1</v>
      </c>
      <c r="H34" s="71" t="s">
        <v>102</v>
      </c>
      <c r="I34" s="71">
        <v>1</v>
      </c>
      <c r="J34" s="71" t="s">
        <v>109</v>
      </c>
      <c r="K34" s="72">
        <v>57.3</v>
      </c>
      <c r="L34" s="73">
        <v>57.3</v>
      </c>
      <c r="M34" s="74">
        <v>57.3</v>
      </c>
      <c r="N34" s="72">
        <v>0</v>
      </c>
      <c r="O34" s="75">
        <v>57.3</v>
      </c>
      <c r="P34" s="76">
        <f>M34</f>
        <v>57.3</v>
      </c>
    </row>
    <row r="35" spans="1:16" s="77" customFormat="1" ht="100.1" customHeight="1">
      <c r="A35" s="78" t="str">
        <f>C35</f>
        <v>Elastic IP</v>
      </c>
      <c r="B35" s="79" t="s">
        <v>110</v>
      </c>
      <c r="C35" s="79" t="s">
        <v>111</v>
      </c>
      <c r="D35" s="79" t="s">
        <v>21</v>
      </c>
      <c r="E35" s="79" t="s">
        <v>22</v>
      </c>
      <c r="F35" s="79" t="s">
        <v>23</v>
      </c>
      <c r="G35" s="79">
        <v>730</v>
      </c>
      <c r="H35" s="79" t="s">
        <v>24</v>
      </c>
      <c r="I35" s="79">
        <v>1</v>
      </c>
      <c r="J35" s="79" t="s">
        <v>112</v>
      </c>
      <c r="K35" s="80">
        <v>86.59</v>
      </c>
      <c r="L35" s="80">
        <v>86.59</v>
      </c>
      <c r="M35" s="80">
        <v>86.59</v>
      </c>
      <c r="N35" s="80">
        <v>0</v>
      </c>
      <c r="O35" s="81">
        <v>86.59</v>
      </c>
      <c r="P35" s="82">
        <f>M35</f>
        <v>86.59</v>
      </c>
    </row>
    <row r="36" spans="1:16" s="77" customFormat="1" ht="100.1" customHeight="1">
      <c r="A36" s="70" t="str">
        <f>C36</f>
        <v>Cloud Backup and Recovery</v>
      </c>
      <c r="B36" s="71" t="s">
        <v>99</v>
      </c>
      <c r="C36" s="71" t="s">
        <v>100</v>
      </c>
      <c r="D36" s="71" t="s">
        <v>21</v>
      </c>
      <c r="E36" s="71" t="s">
        <v>22</v>
      </c>
      <c r="F36" s="71" t="s">
        <v>101</v>
      </c>
      <c r="G36" s="71">
        <v>1</v>
      </c>
      <c r="H36" s="71" t="s">
        <v>102</v>
      </c>
      <c r="I36" s="71">
        <v>1</v>
      </c>
      <c r="J36" s="71" t="s">
        <v>103</v>
      </c>
      <c r="K36" s="72">
        <v>520.04999999999995</v>
      </c>
      <c r="L36" s="73">
        <v>520.04999999999995</v>
      </c>
      <c r="M36" s="74">
        <v>520.04999999999995</v>
      </c>
      <c r="N36" s="72">
        <v>0</v>
      </c>
      <c r="O36" s="75">
        <v>520.04999999999995</v>
      </c>
      <c r="P36" s="76">
        <f>O36</f>
        <v>520.04999999999995</v>
      </c>
    </row>
    <row r="37" spans="1:16" s="77" customFormat="1" ht="100.1" customHeight="1">
      <c r="A37" s="78" t="s">
        <v>226</v>
      </c>
      <c r="B37" s="79" t="s">
        <v>121</v>
      </c>
      <c r="C37" s="79" t="s">
        <v>122</v>
      </c>
      <c r="D37" s="79" t="s">
        <v>21</v>
      </c>
      <c r="E37" s="79" t="s">
        <v>22</v>
      </c>
      <c r="F37" s="79" t="s">
        <v>101</v>
      </c>
      <c r="G37" s="79">
        <v>1</v>
      </c>
      <c r="H37" s="79" t="s">
        <v>102</v>
      </c>
      <c r="I37" s="79">
        <v>1</v>
      </c>
      <c r="J37" s="79" t="s">
        <v>123</v>
      </c>
      <c r="K37" s="80">
        <v>450</v>
      </c>
      <c r="L37" s="80">
        <v>450</v>
      </c>
      <c r="M37" s="80">
        <f>L37*36</f>
        <v>16200</v>
      </c>
      <c r="N37" s="80">
        <v>0</v>
      </c>
      <c r="O37" s="81">
        <v>450</v>
      </c>
      <c r="P37" s="82">
        <f>O37</f>
        <v>450</v>
      </c>
    </row>
    <row r="38" spans="1:16" s="77" customFormat="1" ht="100.1" customHeight="1">
      <c r="A38" s="70" t="str">
        <f>C38</f>
        <v>Cloud Backup and Recovery</v>
      </c>
      <c r="B38" s="71" t="s">
        <v>99</v>
      </c>
      <c r="C38" s="71" t="s">
        <v>100</v>
      </c>
      <c r="D38" s="71" t="s">
        <v>21</v>
      </c>
      <c r="E38" s="71" t="s">
        <v>22</v>
      </c>
      <c r="F38" s="71" t="s">
        <v>101</v>
      </c>
      <c r="G38" s="71">
        <v>1</v>
      </c>
      <c r="H38" s="71" t="s">
        <v>102</v>
      </c>
      <c r="I38" s="71">
        <v>1</v>
      </c>
      <c r="J38" s="71" t="s">
        <v>124</v>
      </c>
      <c r="K38" s="72">
        <v>258.04000000000002</v>
      </c>
      <c r="L38" s="73">
        <v>258.04000000000002</v>
      </c>
      <c r="M38" s="74">
        <v>258.04000000000002</v>
      </c>
      <c r="N38" s="72">
        <v>0</v>
      </c>
      <c r="O38" s="75">
        <v>258.04000000000002</v>
      </c>
      <c r="P38" s="76">
        <f>O38</f>
        <v>258.04000000000002</v>
      </c>
    </row>
    <row r="39" spans="1:16" s="77" customFormat="1" ht="20.6" thickBot="1">
      <c r="A39" s="83" t="s">
        <v>125</v>
      </c>
      <c r="B39" s="84"/>
      <c r="C39" s="84"/>
      <c r="D39" s="84"/>
      <c r="E39" s="84"/>
      <c r="F39" s="84"/>
      <c r="G39" s="84"/>
      <c r="H39" s="84"/>
      <c r="I39" s="84"/>
      <c r="J39" s="84"/>
      <c r="K39" s="85">
        <f t="shared" ref="K39:O39" si="3">SUM(K4:K38)</f>
        <v>212206.28999999995</v>
      </c>
      <c r="L39" s="86">
        <f t="shared" si="3"/>
        <v>206979.51999999993</v>
      </c>
      <c r="M39" s="86">
        <f t="shared" si="3"/>
        <v>227956.28999999995</v>
      </c>
      <c r="N39" s="87">
        <f t="shared" si="3"/>
        <v>0</v>
      </c>
      <c r="O39" s="88">
        <f t="shared" si="3"/>
        <v>212206.28999999995</v>
      </c>
      <c r="P39" s="89">
        <f>SUM(P4:P38)</f>
        <v>7447.2580555555551</v>
      </c>
    </row>
    <row r="40" spans="1:16" s="90" customFormat="1" ht="16.3" customHeight="1">
      <c r="A40" s="121" t="s">
        <v>227</v>
      </c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</row>
    <row r="41" spans="1:16" s="90" customFormat="1" ht="16.3">
      <c r="B41" s="91"/>
      <c r="C41" s="91"/>
      <c r="D41" s="91"/>
      <c r="E41" s="63"/>
      <c r="F41" s="63"/>
      <c r="G41" s="63"/>
      <c r="H41" s="63"/>
      <c r="I41" s="63"/>
      <c r="J41" s="63"/>
      <c r="K41" s="63"/>
      <c r="L41" s="63"/>
      <c r="M41" s="63"/>
      <c r="N41" s="91"/>
      <c r="O41" s="91"/>
    </row>
    <row r="42" spans="1:16" s="90" customFormat="1">
      <c r="E42" s="63"/>
      <c r="F42" s="63"/>
      <c r="G42" s="63"/>
      <c r="H42" s="63"/>
      <c r="I42" s="63"/>
      <c r="J42" s="63"/>
      <c r="K42" s="63"/>
      <c r="L42" s="63"/>
      <c r="M42" s="63"/>
    </row>
    <row r="43" spans="1:16" s="90" customFormat="1" hidden="1">
      <c r="A43" s="92" t="s">
        <v>228</v>
      </c>
      <c r="B43" s="93">
        <f>P39</f>
        <v>7447.2580555555551</v>
      </c>
      <c r="C43" s="94"/>
      <c r="E43" s="63"/>
      <c r="F43" s="63"/>
      <c r="G43" s="63"/>
      <c r="H43" s="63"/>
      <c r="I43" s="63"/>
      <c r="J43" s="63"/>
      <c r="K43" s="63"/>
      <c r="L43" s="63"/>
      <c r="M43" s="63"/>
    </row>
    <row r="44" spans="1:16" s="90" customFormat="1" hidden="1">
      <c r="A44" s="92" t="s">
        <v>229</v>
      </c>
      <c r="B44" s="95">
        <f>[1]Summary!C7</f>
        <v>0</v>
      </c>
      <c r="C44" s="96"/>
      <c r="E44" s="63"/>
      <c r="F44" s="63"/>
      <c r="G44" s="63"/>
      <c r="H44" s="63"/>
      <c r="I44" s="63"/>
      <c r="J44" s="63"/>
      <c r="K44" s="63"/>
      <c r="L44" s="63"/>
      <c r="M44" s="63"/>
    </row>
    <row r="45" spans="1:16" s="90" customFormat="1" hidden="1">
      <c r="A45" s="92" t="s">
        <v>230</v>
      </c>
      <c r="B45" s="93">
        <f>B43*B44</f>
        <v>0</v>
      </c>
      <c r="C45" s="94"/>
      <c r="E45" s="63"/>
      <c r="F45" s="63"/>
      <c r="G45" s="63"/>
      <c r="H45" s="63"/>
      <c r="I45" s="63"/>
      <c r="J45" s="63"/>
      <c r="K45" s="63"/>
      <c r="L45" s="63"/>
      <c r="M45" s="63"/>
    </row>
    <row r="46" spans="1:16" s="90" customFormat="1" hidden="1">
      <c r="A46" s="92" t="s">
        <v>231</v>
      </c>
      <c r="B46" s="93">
        <v>0</v>
      </c>
      <c r="C46" s="94"/>
      <c r="D46" s="97"/>
      <c r="E46" s="63"/>
      <c r="F46" s="63"/>
      <c r="G46" s="63"/>
      <c r="H46" s="63"/>
      <c r="I46" s="63"/>
      <c r="J46" s="63"/>
      <c r="K46" s="63"/>
      <c r="L46" s="63"/>
      <c r="M46" s="63"/>
    </row>
    <row r="47" spans="1:16" s="90" customFormat="1" hidden="1">
      <c r="A47" s="98" t="s">
        <v>232</v>
      </c>
      <c r="B47" s="99">
        <f>P39</f>
        <v>7447.2580555555551</v>
      </c>
      <c r="C47" s="100"/>
      <c r="E47" s="63"/>
      <c r="F47" s="63"/>
      <c r="G47" s="63"/>
      <c r="H47" s="63"/>
      <c r="I47" s="63"/>
      <c r="J47" s="63"/>
      <c r="K47" s="63"/>
      <c r="L47" s="63"/>
      <c r="M47" s="63"/>
    </row>
    <row r="51" spans="2:3">
      <c r="B51" s="28" t="s">
        <v>184</v>
      </c>
      <c r="C51" s="27">
        <f>SUM(P7:P38)</f>
        <v>7243.8161111111103</v>
      </c>
    </row>
    <row r="52" spans="2:3">
      <c r="B52" s="57" t="s">
        <v>185</v>
      </c>
      <c r="C52" s="62">
        <f>C51/30</f>
        <v>241.460537037037</v>
      </c>
    </row>
  </sheetData>
  <mergeCells count="2">
    <mergeCell ref="A2:P2"/>
    <mergeCell ref="A40:P40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Coupon Application</vt:lpstr>
      <vt:lpstr>Coupon Calculation</vt:lpstr>
      <vt:lpstr>CODELPA Migration Plan</vt:lpstr>
      <vt:lpstr>Price Calculator - PPU</vt:lpstr>
      <vt:lpstr>Price Calculator - RI</vt:lpstr>
    </vt:vector>
  </TitlesOfParts>
  <Company>Huawei Technologies Co.,Ltd.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Jesus Tejada Rodriguez</dc:creator>
  <cp:lastModifiedBy>Erick Jesus Tejada Rodriguez</cp:lastModifiedBy>
  <dcterms:created xsi:type="dcterms:W3CDTF">2025-09-05T01:19:24Z</dcterms:created>
  <dcterms:modified xsi:type="dcterms:W3CDTF">2026-03-20T01:33:23Z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1757485639</vt:lpwstr>
  </property>
</Properties>
</file>