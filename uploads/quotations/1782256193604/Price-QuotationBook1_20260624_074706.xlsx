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84423900\Documents\Migrations\CODELPA\"/>
    </mc:Choice>
  </mc:AlternateContent>
  <xr:revisionPtr revIDLastSave="0" documentId="8_{91354068-BA1B-4FF4-B819-4B867A42FF93}" xr6:coauthVersionLast="47" xr6:coauthVersionMax="47" xr10:uidLastSave="{00000000-0000-0000-0000-000000000000}"/>
  <bookViews>
    <workbookView xWindow="-108" yWindow="-108" windowWidth="23256" windowHeight="14856" xr2:uid="{B97B3252-C543-4196-8BDB-3A601F660A50}"/>
  </bookViews>
  <sheets>
    <sheet name="Price Calculator - PPU" sheetId="1" r:id="rId1"/>
  </sheets>
  <externalReferences>
    <externalReference r:id="rId2"/>
  </externalReferences>
  <definedNames>
    <definedName name="QF_SYS_SIGNER">[1]Discount!$E$13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7" i="1" l="1"/>
  <c r="C48" i="1" s="1"/>
  <c r="C44" i="1"/>
  <c r="C45" i="1" s="1"/>
  <c r="N39" i="1"/>
  <c r="N38" i="1"/>
  <c r="L38" i="1"/>
  <c r="K38" i="1"/>
  <c r="J38" i="1"/>
  <c r="A1" i="1"/>
</calcChain>
</file>

<file path=xl/sharedStrings.xml><?xml version="1.0" encoding="utf-8"?>
<sst xmlns="http://schemas.openxmlformats.org/spreadsheetml/2006/main" count="265" uniqueCount="125">
  <si>
    <t>Service</t>
  </si>
  <si>
    <t>Description</t>
  </si>
  <si>
    <t>Region</t>
  </si>
  <si>
    <t>AZ</t>
  </si>
  <si>
    <t>Billing Mode</t>
  </si>
  <si>
    <t>Purchase Amount</t>
  </si>
  <si>
    <t>Unit</t>
  </si>
  <si>
    <t>Quantity</t>
  </si>
  <si>
    <t>Specifications</t>
  </si>
  <si>
    <t>Unit Price (USD)</t>
  </si>
  <si>
    <t>Discounted Unit Price (USD)</t>
  </si>
  <si>
    <t>Original Price (USD)</t>
  </si>
  <si>
    <t>Discount Amount (USD)</t>
  </si>
  <si>
    <t>Discounted Price (USD)</t>
  </si>
  <si>
    <t>Elastic Cloud Server 1</t>
  </si>
  <si>
    <t>CDP-AD365-01</t>
  </si>
  <si>
    <t>LA-Mexico City2</t>
  </si>
  <si>
    <t xml:space="preserve">General AZ </t>
  </si>
  <si>
    <t>Pay-per-use</t>
  </si>
  <si>
    <t>hours</t>
  </si>
  <si>
    <t xml:space="preserve">x86 | General computing | x0.8u.16g | 8 vCPUs | 16GiB; Huawei Cloud EulerOS | Huawei Cloud EulerOS 2.0 Standard 64 bit; General Purpose SSD | 280GB; </t>
  </si>
  <si>
    <t>Elastic Cloud Server 2</t>
  </si>
  <si>
    <t>CDP-APPSRV-01</t>
  </si>
  <si>
    <t xml:space="preserve">x86 | General computing | x0.4u.6g | 4 vCPUs | 6GiB; Huawei Cloud EulerOS | Huawei Cloud EulerOS 2.0 Standard 64 bit; General Purpose SSD | 400GB; </t>
  </si>
  <si>
    <t>Elastic Cloud Server 3</t>
  </si>
  <si>
    <t>CDP-APPSRV-03</t>
  </si>
  <si>
    <t xml:space="preserve">x86 | General computing | x0.4u.8g | 4 vCPUs | 8GiB; Huawei Cloud EulerOS | Huawei Cloud EulerOS 2.0 Standard 64 bit; General Purpose SSD | 200GB; </t>
  </si>
  <si>
    <t>Elastic Cloud Server 4</t>
  </si>
  <si>
    <t>CDP-DB-OP</t>
  </si>
  <si>
    <t xml:space="preserve">x86 | General computing-plus | ac8.xlarge.4 | 4 vCPUs | 16GiB; CentOS | CentOS 8.2 64bit; General Purpose SSD | 380GB; </t>
  </si>
  <si>
    <t>Elastic Cloud Server 5</t>
  </si>
  <si>
    <t>CDP-DC-1.0</t>
  </si>
  <si>
    <t xml:space="preserve">x86 | General computing | x0.4u.12g | 4 vCPUs | 12GiB; Huawei Cloud EulerOS | Huawei Cloud EulerOS 2.0 Standard 64 bit; General Purpose SSD | 119GB; </t>
  </si>
  <si>
    <t>Elastic Cloud Server 6</t>
  </si>
  <si>
    <t>CDP-DC-1.1</t>
  </si>
  <si>
    <t xml:space="preserve">x86 | General computing | x0.4u.12g | 4 vCPUs | 12GiB; Huawei Cloud EulerOS | Huawei Cloud EulerOS 2.0 Standard 64 bit; General Purpose SSD | 130GB; </t>
  </si>
  <si>
    <t>Elastic Cloud Server 7</t>
  </si>
  <si>
    <t>CDP-FS-01</t>
  </si>
  <si>
    <t xml:space="preserve">x86 | General computing | x0.6u.18g | 6 vCPUs | 18GiB; Huawei Cloud EulerOS | Huawei Cloud EulerOS 2.0 Standard 64 bit; General Purpose SSD | 1024GB; General Purpose SSD | 1024GB; General Purpose SSD | 1024GB; General Purpose SSD | 1024GB; General Purpose SSD | 1024GB; </t>
  </si>
  <si>
    <t>Elastic Cloud Server 8</t>
  </si>
  <si>
    <t>CDP-NewCrosh-01</t>
  </si>
  <si>
    <t xml:space="preserve">x86 | General computing | x0.8u.8g | 8 vCPUs | 8GiB; Huawei Cloud EulerOS | Huawei Cloud EulerOS 2.0 Standard 64 bit; General Purpose SSD | 160GB; </t>
  </si>
  <si>
    <t>Elastic Cloud Server 9</t>
  </si>
  <si>
    <t>CDP-SRVME-01</t>
  </si>
  <si>
    <t xml:space="preserve">x86 | General computing | x0.4u.10g | 4 vCPUs | 10GiB; Huawei Cloud EulerOS | Huawei Cloud EulerOS 2.0 Standard 64 bit; General Purpose SSD | 250GB; </t>
  </si>
  <si>
    <t>Elastic Cloud Server 10</t>
  </si>
  <si>
    <t>CDP-NW-OBRAS</t>
  </si>
  <si>
    <t xml:space="preserve">x86 | General computing | x0.4u.12g | 4 vCPUs | 12GiB; Huawei Cloud EulerOS | Huawei Cloud EulerOS 2.0 Standard 64 bit; General Purpose SSD | 350GB; </t>
  </si>
  <si>
    <t>Elastic Cloud Server 11</t>
  </si>
  <si>
    <t>CDP-PRTSRV-01</t>
  </si>
  <si>
    <t xml:space="preserve">x86 | General computing | x0.2u.8g | 2 vCPUs | 8GiB; Huawei Cloud EulerOS | Huawei Cloud EulerOS 2.0 Standard 64 bit; General Purpose SSD | 104GB; </t>
  </si>
  <si>
    <t>Elastic Cloud Server 12</t>
  </si>
  <si>
    <t>CDP-SAP-03</t>
  </si>
  <si>
    <t xml:space="preserve">x86 | General computing | x0.8u.32g | 8 vCPUs | 32GiB; Huawei Cloud EulerOS | Huawei Cloud EulerOS 2.0 Standard 64 bit; General Purpose SSD | 540GB; </t>
  </si>
  <si>
    <t>Elastic Cloud Server 13</t>
  </si>
  <si>
    <t>CDP-SAP-04</t>
  </si>
  <si>
    <t xml:space="preserve">x86 | General computing | x0.8u.32g | 8 vCPUs | 32GiB; Huawei Cloud EulerOS | Huawei Cloud EulerOS 2.0 Standard 64 bit; General Purpose SSD | 470GB; </t>
  </si>
  <si>
    <t>Elastic Cloud Server 14</t>
  </si>
  <si>
    <t>CDP-SAP-05</t>
  </si>
  <si>
    <t>Elastic Cloud Server 15</t>
  </si>
  <si>
    <t>CDP-SAP-06</t>
  </si>
  <si>
    <t xml:space="preserve">x86 | General computing | x0.8u.8g | 8 vCPUs | 8GiB; Huawei Cloud EulerOS | Huawei Cloud EulerOS 2.0 Standard 64 bit; General Purpose SSD | 50GB; </t>
  </si>
  <si>
    <t>Elastic Cloud Server 16</t>
  </si>
  <si>
    <t>CDP-SAP-07</t>
  </si>
  <si>
    <t xml:space="preserve">x86 | General computing | x0.8u.32g | 8 vCPUs | 32GiB; Huawei Cloud EulerOS | Huawei Cloud EulerOS 2.0 Standard 64 bit; General Purpose SSD | 400GB; </t>
  </si>
  <si>
    <t>Elastic Cloud Server 17</t>
  </si>
  <si>
    <t>CDP-SAP-08</t>
  </si>
  <si>
    <t>Elastic Cloud Server 18</t>
  </si>
  <si>
    <t>CDP-UTC-01</t>
  </si>
  <si>
    <t xml:space="preserve">x86 | General computing | x0.2u.6g | 2 vCPUs | 6GiB; Huawei Cloud EulerOS | Huawei Cloud EulerOS 2.0 Standard 64 bit; General Purpose SSD | 300GB; </t>
  </si>
  <si>
    <t>Elastic Cloud Server 19</t>
  </si>
  <si>
    <t>CDP-W10-CA</t>
  </si>
  <si>
    <t xml:space="preserve">x86 | General computing | x0.4u.16g | 4 vCPUs | 16GiB; Huawei Cloud EulerOS | Huawei Cloud EulerOS 2.0 Standard 64 bit; General Purpose SSD | 100GB; </t>
  </si>
  <si>
    <t>Elastic Cloud Server 20</t>
  </si>
  <si>
    <t>CDPSPNSVR</t>
  </si>
  <si>
    <t xml:space="preserve">x86 | General computing | x0.16u.8g | 16 vCPUs | 8GiB; Huawei Cloud EulerOS | Huawei Cloud EulerOS 2.0 Standard 64 bit; General Purpose SSD | 300GB; </t>
  </si>
  <si>
    <t>Elastic Cloud Server 21</t>
  </si>
  <si>
    <t>GLPI-SRVR</t>
  </si>
  <si>
    <t xml:space="preserve">x86 | General computing | x0.4u.4g | 4 vCPUs | 4GiB; Huawei Cloud EulerOS | Huawei Cloud EulerOS 2.0 Standard 64 bit; General Purpose SSD | 40GB; </t>
  </si>
  <si>
    <t>Elastic Cloud Server 22</t>
  </si>
  <si>
    <t>NAGIOS SERVER</t>
  </si>
  <si>
    <t xml:space="preserve">x86 | General computing | x0.1u.4g | 1vCPU | 4GiB; Huawei Cloud EulerOS | Huawei Cloud EulerOS 2.0 Standard 64 bit; General Purpose SSD | 100GB; </t>
  </si>
  <si>
    <t>Elastic Cloud Server 23</t>
  </si>
  <si>
    <t>New-Soft BD 220</t>
  </si>
  <si>
    <t xml:space="preserve">x86 | General computing-plus | ac8.xlarge.2 | 4 vCPUs | 8GiB; Huawei Cloud EulerOS | Huawei Cloud EulerOS 2.0 Standard 64 bit; General Purpose SSD | 80GB; </t>
  </si>
  <si>
    <t>Elastic Cloud Server 24</t>
  </si>
  <si>
    <t>New-Soft BD 221-245</t>
  </si>
  <si>
    <t xml:space="preserve">x86 | General computing | x0.1u.4g | 1vCPU | 4GiB; Huawei Cloud EulerOS | Huawei Cloud EulerOS 2.0 Standard 64 bit; General Purpose SSD | 80GB; </t>
  </si>
  <si>
    <t>Elastic Cloud Server 25</t>
  </si>
  <si>
    <t>NEWSOFT-SUPPORT</t>
  </si>
  <si>
    <t xml:space="preserve">x86 | General computing | x0.4u.4g | 4 vCPUs | 4GiB; Huawei Cloud EulerOS | Huawei Cloud EulerOS 2.0 Standard 64 bit; General Purpose SSD | 80GB; </t>
  </si>
  <si>
    <t>Elastic Cloud Server 26</t>
  </si>
  <si>
    <t>OCS-SRVR-01</t>
  </si>
  <si>
    <t xml:space="preserve">x86 | General computing | x0.4u.4g | 4 vCPUs | 4GiB; Huawei Cloud EulerOS | Huawei Cloud EulerOS 2.0 Standard 64 bit; General Purpose SSD | 45GB; </t>
  </si>
  <si>
    <t>Cloud Backup and Recovery 1</t>
  </si>
  <si>
    <t>Cloud Backup and Recovery</t>
  </si>
  <si>
    <t>Monthly</t>
  </si>
  <si>
    <t>month</t>
  </si>
  <si>
    <t xml:space="preserve">Server backup vault | 14446GB; </t>
  </si>
  <si>
    <t>Virtual Private Network 1</t>
  </si>
  <si>
    <t>Virtual Private Network</t>
  </si>
  <si>
    <t xml:space="preserve">Professional 1 | 10amountsVPN Connection Groups; 1Mbit/s; 1Mbit/s; </t>
  </si>
  <si>
    <t>NAT Gateway 1</t>
  </si>
  <si>
    <t>NAT Gateway</t>
  </si>
  <si>
    <t xml:space="preserve">Small; </t>
  </si>
  <si>
    <t>Elastic IP 1</t>
  </si>
  <si>
    <t>Elastic IP</t>
  </si>
  <si>
    <t xml:space="preserve">Dedicated | Dynamic BGP | Traffic | 1TB; 1 ; </t>
  </si>
  <si>
    <t>Elastic Cloud Server 27</t>
  </si>
  <si>
    <t>SAP 01 SERVER</t>
  </si>
  <si>
    <t xml:space="preserve">x86 | Memory-optimized | m7n.16xlarge.8 | 64 vCPUs | 512GiB; AlmaLinux | AlmaLinux 9.4 64bit; High I/O | 1024GB; High I/O | 500GB; </t>
  </si>
  <si>
    <t>Elastic Cloud Server 28</t>
  </si>
  <si>
    <t>SAP 02 SERVER</t>
  </si>
  <si>
    <t xml:space="preserve">x86 | Large-memory | e7.12xlarge.20 | 48 vCPUs | 960GiB; CentOS | CentOS 8.2 64bit; High I/O | 1024GB; High I/O | 500GB; </t>
  </si>
  <si>
    <t>Elastic Cloud Server 29</t>
  </si>
  <si>
    <t>New Server</t>
  </si>
  <si>
    <t>Support Plans 1</t>
  </si>
  <si>
    <t>Support Plans</t>
  </si>
  <si>
    <t xml:space="preserve">Business | 4500USD/month; </t>
  </si>
  <si>
    <t xml:space="preserve">Server backup vault | 7168GB; </t>
  </si>
  <si>
    <t>Total Price</t>
  </si>
  <si>
    <t>The preceding price is for reference only and may vary from the final price in your bill</t>
  </si>
  <si>
    <t>Consumption with no SAP Prod Server</t>
  </si>
  <si>
    <t>Total consumption</t>
  </si>
  <si>
    <t>Daily consumption for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</si>
</sst>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FFF0"/>
      <name val="微软雅黑"/>
    </font>
    <font>
      <sz val="12"/>
      <name val="微软雅黑"/>
    </font>
    <font>
      <sz val="12"/>
      <color rgb="FF00CD00"/>
      <name val="微软雅黑"/>
    </font>
    <font>
      <sz val="12"/>
      <color rgb="FFCD2626"/>
      <name val="微软雅黑"/>
    </font>
    <font>
      <sz val="12"/>
      <color rgb="FF8F8F8F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4" fillId="3" borderId="0" xfId="1" applyFont="1" applyFill="1" applyAlignment="1">
      <alignment horizontal="left" vertical="center" wrapText="1"/>
    </xf>
    <xf numFmtId="0" fontId="4" fillId="3" borderId="0" xfId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right" vertical="center" wrapText="1"/>
    </xf>
    <xf numFmtId="0" fontId="4" fillId="0" borderId="0" xfId="1" applyFont="1"/>
    <xf numFmtId="0" fontId="4" fillId="0" borderId="2" xfId="1" applyFont="1" applyBorder="1" applyAlignment="1">
      <alignment horizontal="left" vertical="center" wrapText="1"/>
    </xf>
    <xf numFmtId="164" fontId="4" fillId="0" borderId="0" xfId="1" applyNumberFormat="1" applyFont="1" applyAlignment="1">
      <alignment horizontal="right" vertical="center" wrapText="1"/>
    </xf>
    <xf numFmtId="164" fontId="5" fillId="0" borderId="0" xfId="1" applyNumberFormat="1" applyFont="1" applyAlignment="1">
      <alignment horizontal="right" vertical="center" wrapText="1"/>
    </xf>
    <xf numFmtId="164" fontId="6" fillId="0" borderId="1" xfId="1" applyNumberFormat="1" applyFont="1" applyBorder="1" applyAlignment="1">
      <alignment horizontal="right" vertical="center" wrapText="1"/>
    </xf>
    <xf numFmtId="0" fontId="1" fillId="0" borderId="0" xfId="1"/>
    <xf numFmtId="0" fontId="4" fillId="4" borderId="3" xfId="1" applyFont="1" applyFill="1" applyBorder="1" applyAlignment="1">
      <alignment horizontal="left" vertical="center" wrapText="1"/>
    </xf>
    <xf numFmtId="4" fontId="4" fillId="4" borderId="3" xfId="1" applyNumberFormat="1" applyFont="1" applyFill="1" applyBorder="1" applyAlignment="1">
      <alignment horizontal="right" vertical="center" wrapText="1"/>
    </xf>
    <xf numFmtId="4" fontId="5" fillId="4" borderId="3" xfId="1" applyNumberFormat="1" applyFont="1" applyFill="1" applyBorder="1" applyAlignment="1">
      <alignment horizontal="right" vertical="center" wrapText="1"/>
    </xf>
    <xf numFmtId="4" fontId="6" fillId="4" borderId="4" xfId="1" applyNumberFormat="1" applyFont="1" applyFill="1" applyBorder="1" applyAlignment="1">
      <alignment horizontal="right" vertical="center" wrapText="1"/>
    </xf>
    <xf numFmtId="0" fontId="4" fillId="3" borderId="3" xfId="1" applyFont="1" applyFill="1" applyBorder="1" applyAlignment="1">
      <alignment horizontal="left" vertical="center" wrapText="1"/>
    </xf>
    <xf numFmtId="4" fontId="4" fillId="3" borderId="3" xfId="1" applyNumberFormat="1" applyFont="1" applyFill="1" applyBorder="1" applyAlignment="1">
      <alignment horizontal="right" vertical="center" wrapText="1"/>
    </xf>
    <xf numFmtId="4" fontId="5" fillId="3" borderId="3" xfId="1" applyNumberFormat="1" applyFont="1" applyFill="1" applyBorder="1" applyAlignment="1">
      <alignment horizontal="right" vertical="center" wrapText="1"/>
    </xf>
    <xf numFmtId="4" fontId="6" fillId="3" borderId="4" xfId="1" applyNumberFormat="1" applyFont="1" applyFill="1" applyBorder="1" applyAlignment="1">
      <alignment horizontal="right" vertical="center" wrapText="1"/>
    </xf>
    <xf numFmtId="0" fontId="7" fillId="0" borderId="0" xfId="1" applyFont="1" applyAlignment="1">
      <alignment horizontal="left" vertical="center" wrapText="1"/>
    </xf>
    <xf numFmtId="0" fontId="2" fillId="0" borderId="5" xfId="1" applyFont="1" applyBorder="1"/>
    <xf numFmtId="164" fontId="1" fillId="0" borderId="5" xfId="1" applyNumberFormat="1" applyBorder="1"/>
    <xf numFmtId="2" fontId="1" fillId="0" borderId="0" xfId="1" applyNumberFormat="1"/>
    <xf numFmtId="0" fontId="2" fillId="0" borderId="0" xfId="1" applyFont="1" applyAlignment="1">
      <alignment horizontal="right"/>
    </xf>
  </cellXfs>
  <cellStyles count="2">
    <cellStyle name="Normal" xfId="0" builtinId="0"/>
    <cellStyle name="Normal 2" xfId="1" xr:uid="{F0182C9D-5EBF-4A6A-8B12-C82529C451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4434264/Desktop/Cloud/Projects/DR/Public%20Cloud/CODELPA/SDT/Coupon/CODELA%20RI%20for%20Coup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"/>
      <sheetName val="RI (2)"/>
      <sheetName val="Cover"/>
      <sheetName val="Solution Introduction"/>
      <sheetName val="Disclaimer"/>
      <sheetName val="Summary"/>
      <sheetName val="Consolidation"/>
      <sheetName val="RI"/>
      <sheetName val="Network"/>
      <sheetName val="Backup"/>
      <sheetName val="Support Plan"/>
      <sheetName val="Price Calculator Summary (2)"/>
      <sheetName val="TEMPLATE"/>
      <sheetName val="tmp_v"/>
    </sheetNames>
    <sheetDataSet>
      <sheetData sheetId="0">
        <row r="13">
          <cell r="E13" t="str">
            <v/>
          </cell>
        </row>
      </sheetData>
      <sheetData sheetId="1"/>
      <sheetData sheetId="2"/>
      <sheetData sheetId="3"/>
      <sheetData sheetId="4"/>
      <sheetData sheetId="5">
        <row r="7">
          <cell r="C7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9860-7C49-41CD-ADD7-5D3901018E29}">
  <dimension ref="A1:N48"/>
  <sheetViews>
    <sheetView tabSelected="1" zoomScale="60" zoomScaleNormal="60" workbookViewId="0">
      <selection activeCell="I4" sqref="I4"/>
    </sheetView>
  </sheetViews>
  <sheetFormatPr defaultColWidth="10" defaultRowHeight="14.5"/>
  <cols>
    <col min="1" max="1" width="45.1796875" style="12" customWidth="1"/>
    <col min="2" max="2" width="43.54296875" style="12" bestFit="1" customWidth="1"/>
    <col min="3" max="3" width="20.26953125" style="12" customWidth="1"/>
    <col min="4" max="6" width="22.26953125" style="12" customWidth="1"/>
    <col min="7" max="8" width="20.26953125" style="12" customWidth="1"/>
    <col min="9" max="9" width="50.6328125" style="12" customWidth="1"/>
    <col min="10" max="10" width="20.26953125" style="12" customWidth="1"/>
    <col min="11" max="14" width="22.26953125" style="12" customWidth="1"/>
    <col min="15" max="16384" width="10" style="12"/>
  </cols>
  <sheetData>
    <row r="1" spans="1:14" s="3" customFormat="1" ht="50" customHeight="1">
      <c r="A1" s="1" t="str">
        <f ca="1">"Price Calculator "&amp;TEXT(TODAY(),"mmm dd, yyyy")</f>
        <v>Price Calculator May 27, 2026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s="7" customFormat="1" ht="50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</row>
    <row r="3" spans="1:14" ht="100" customHeight="1">
      <c r="A3" s="8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>
        <v>730</v>
      </c>
      <c r="G3" s="8" t="s">
        <v>19</v>
      </c>
      <c r="H3" s="8">
        <v>1</v>
      </c>
      <c r="I3" s="8" t="s">
        <v>20</v>
      </c>
      <c r="J3" s="9">
        <v>160.88999999999999</v>
      </c>
      <c r="K3" s="9">
        <v>160.88999999999999</v>
      </c>
      <c r="L3" s="9">
        <v>160.88999999999999</v>
      </c>
      <c r="M3" s="10">
        <v>0</v>
      </c>
      <c r="N3" s="11">
        <v>160.88999999999999</v>
      </c>
    </row>
    <row r="4" spans="1:14" ht="100" customHeight="1">
      <c r="A4" s="8" t="s">
        <v>21</v>
      </c>
      <c r="B4" s="8" t="s">
        <v>22</v>
      </c>
      <c r="C4" s="8" t="s">
        <v>16</v>
      </c>
      <c r="D4" s="8" t="s">
        <v>17</v>
      </c>
      <c r="E4" s="8" t="s">
        <v>18</v>
      </c>
      <c r="F4" s="8">
        <v>730</v>
      </c>
      <c r="G4" s="8" t="s">
        <v>19</v>
      </c>
      <c r="H4" s="8">
        <v>1</v>
      </c>
      <c r="I4" s="8" t="s">
        <v>23</v>
      </c>
      <c r="J4" s="9">
        <v>102.93</v>
      </c>
      <c r="K4" s="9">
        <v>102.93</v>
      </c>
      <c r="L4" s="9">
        <v>102.93</v>
      </c>
      <c r="M4" s="10">
        <v>0</v>
      </c>
      <c r="N4" s="11">
        <v>102.93</v>
      </c>
    </row>
    <row r="5" spans="1:14" ht="100" customHeight="1">
      <c r="A5" s="8" t="s">
        <v>24</v>
      </c>
      <c r="B5" s="8" t="s">
        <v>25</v>
      </c>
      <c r="C5" s="8" t="s">
        <v>16</v>
      </c>
      <c r="D5" s="8" t="s">
        <v>17</v>
      </c>
      <c r="E5" s="8" t="s">
        <v>18</v>
      </c>
      <c r="F5" s="8">
        <v>730</v>
      </c>
      <c r="G5" s="8" t="s">
        <v>19</v>
      </c>
      <c r="H5" s="8">
        <v>1</v>
      </c>
      <c r="I5" s="8" t="s">
        <v>26</v>
      </c>
      <c r="J5" s="9">
        <v>86.14</v>
      </c>
      <c r="K5" s="9">
        <v>86.14</v>
      </c>
      <c r="L5" s="9">
        <v>86.14</v>
      </c>
      <c r="M5" s="10">
        <v>0</v>
      </c>
      <c r="N5" s="11">
        <v>86.14</v>
      </c>
    </row>
    <row r="6" spans="1:14" ht="100" customHeight="1">
      <c r="A6" s="8" t="s">
        <v>27</v>
      </c>
      <c r="B6" s="8" t="s">
        <v>28</v>
      </c>
      <c r="C6" s="8" t="s">
        <v>16</v>
      </c>
      <c r="D6" s="8" t="s">
        <v>17</v>
      </c>
      <c r="E6" s="8" t="s">
        <v>18</v>
      </c>
      <c r="F6" s="8">
        <v>730</v>
      </c>
      <c r="G6" s="8" t="s">
        <v>19</v>
      </c>
      <c r="H6" s="8">
        <v>1</v>
      </c>
      <c r="I6" s="8" t="s">
        <v>29</v>
      </c>
      <c r="J6" s="9">
        <v>130.96</v>
      </c>
      <c r="K6" s="9">
        <v>130.96</v>
      </c>
      <c r="L6" s="9">
        <v>130.96</v>
      </c>
      <c r="M6" s="10">
        <v>0</v>
      </c>
      <c r="N6" s="11">
        <v>130.96</v>
      </c>
    </row>
    <row r="7" spans="1:14" ht="100" customHeight="1">
      <c r="A7" s="8" t="s">
        <v>30</v>
      </c>
      <c r="B7" s="8" t="s">
        <v>31</v>
      </c>
      <c r="C7" s="8" t="s">
        <v>16</v>
      </c>
      <c r="D7" s="8" t="s">
        <v>17</v>
      </c>
      <c r="E7" s="8" t="s">
        <v>18</v>
      </c>
      <c r="F7" s="8">
        <v>730</v>
      </c>
      <c r="G7" s="8" t="s">
        <v>19</v>
      </c>
      <c r="H7" s="8">
        <v>1</v>
      </c>
      <c r="I7" s="8" t="s">
        <v>32</v>
      </c>
      <c r="J7" s="9">
        <v>82.83</v>
      </c>
      <c r="K7" s="9">
        <v>82.83</v>
      </c>
      <c r="L7" s="9">
        <v>82.83</v>
      </c>
      <c r="M7" s="10">
        <v>0</v>
      </c>
      <c r="N7" s="11">
        <v>82.83</v>
      </c>
    </row>
    <row r="8" spans="1:14" ht="100" customHeight="1">
      <c r="A8" s="8" t="s">
        <v>33</v>
      </c>
      <c r="B8" s="8" t="s">
        <v>34</v>
      </c>
      <c r="C8" s="8" t="s">
        <v>16</v>
      </c>
      <c r="D8" s="8" t="s">
        <v>17</v>
      </c>
      <c r="E8" s="8" t="s">
        <v>18</v>
      </c>
      <c r="F8" s="8">
        <v>730</v>
      </c>
      <c r="G8" s="8" t="s">
        <v>19</v>
      </c>
      <c r="H8" s="8">
        <v>1</v>
      </c>
      <c r="I8" s="8" t="s">
        <v>35</v>
      </c>
      <c r="J8" s="9">
        <v>83.88</v>
      </c>
      <c r="K8" s="9">
        <v>83.88</v>
      </c>
      <c r="L8" s="9">
        <v>83.88</v>
      </c>
      <c r="M8" s="10">
        <v>0</v>
      </c>
      <c r="N8" s="11">
        <v>83.88</v>
      </c>
    </row>
    <row r="9" spans="1:14" ht="100" customHeight="1">
      <c r="A9" s="8" t="s">
        <v>36</v>
      </c>
      <c r="B9" s="8" t="s">
        <v>37</v>
      </c>
      <c r="C9" s="8" t="s">
        <v>16</v>
      </c>
      <c r="D9" s="8" t="s">
        <v>17</v>
      </c>
      <c r="E9" s="8" t="s">
        <v>18</v>
      </c>
      <c r="F9" s="8">
        <v>730</v>
      </c>
      <c r="G9" s="8" t="s">
        <v>19</v>
      </c>
      <c r="H9" s="8">
        <v>1</v>
      </c>
      <c r="I9" s="8" t="s">
        <v>38</v>
      </c>
      <c r="J9" s="9">
        <v>593.20000000000005</v>
      </c>
      <c r="K9" s="9">
        <v>593.20000000000005</v>
      </c>
      <c r="L9" s="9">
        <v>593.20000000000005</v>
      </c>
      <c r="M9" s="10">
        <v>0</v>
      </c>
      <c r="N9" s="11">
        <v>593.20000000000005</v>
      </c>
    </row>
    <row r="10" spans="1:14" ht="100" customHeight="1">
      <c r="A10" s="8" t="s">
        <v>39</v>
      </c>
      <c r="B10" s="8" t="s">
        <v>40</v>
      </c>
      <c r="C10" s="8" t="s">
        <v>16</v>
      </c>
      <c r="D10" s="8" t="s">
        <v>17</v>
      </c>
      <c r="E10" s="8" t="s">
        <v>18</v>
      </c>
      <c r="F10" s="8">
        <v>730</v>
      </c>
      <c r="G10" s="8" t="s">
        <v>19</v>
      </c>
      <c r="H10" s="8">
        <v>1</v>
      </c>
      <c r="I10" s="8" t="s">
        <v>41</v>
      </c>
      <c r="J10" s="9">
        <v>140.74</v>
      </c>
      <c r="K10" s="9">
        <v>140.74</v>
      </c>
      <c r="L10" s="9">
        <v>140.74</v>
      </c>
      <c r="M10" s="10">
        <v>0</v>
      </c>
      <c r="N10" s="11">
        <v>140.74</v>
      </c>
    </row>
    <row r="11" spans="1:14" ht="100" customHeight="1">
      <c r="A11" s="8" t="s">
        <v>42</v>
      </c>
      <c r="B11" s="8" t="s">
        <v>43</v>
      </c>
      <c r="C11" s="8" t="s">
        <v>16</v>
      </c>
      <c r="D11" s="8" t="s">
        <v>17</v>
      </c>
      <c r="E11" s="8" t="s">
        <v>18</v>
      </c>
      <c r="F11" s="8">
        <v>730</v>
      </c>
      <c r="G11" s="8" t="s">
        <v>19</v>
      </c>
      <c r="H11" s="8">
        <v>1</v>
      </c>
      <c r="I11" s="8" t="s">
        <v>44</v>
      </c>
      <c r="J11" s="9">
        <v>93.08</v>
      </c>
      <c r="K11" s="9">
        <v>93.08</v>
      </c>
      <c r="L11" s="9">
        <v>93.08</v>
      </c>
      <c r="M11" s="10">
        <v>0</v>
      </c>
      <c r="N11" s="11">
        <v>93.08</v>
      </c>
    </row>
    <row r="12" spans="1:14" ht="100" customHeight="1">
      <c r="A12" s="8" t="s">
        <v>45</v>
      </c>
      <c r="B12" s="8" t="s">
        <v>46</v>
      </c>
      <c r="C12" s="8" t="s">
        <v>16</v>
      </c>
      <c r="D12" s="8" t="s">
        <v>17</v>
      </c>
      <c r="E12" s="8" t="s">
        <v>18</v>
      </c>
      <c r="F12" s="8">
        <v>730</v>
      </c>
      <c r="G12" s="8" t="s">
        <v>19</v>
      </c>
      <c r="H12" s="8">
        <v>1</v>
      </c>
      <c r="I12" s="8" t="s">
        <v>47</v>
      </c>
      <c r="J12" s="9">
        <v>104.76</v>
      </c>
      <c r="K12" s="9">
        <v>104.76</v>
      </c>
      <c r="L12" s="9">
        <v>104.76</v>
      </c>
      <c r="M12" s="10">
        <v>0</v>
      </c>
      <c r="N12" s="11">
        <v>104.76</v>
      </c>
    </row>
    <row r="13" spans="1:14" ht="100" customHeight="1">
      <c r="A13" s="8" t="s">
        <v>48</v>
      </c>
      <c r="B13" s="8" t="s">
        <v>49</v>
      </c>
      <c r="C13" s="8" t="s">
        <v>16</v>
      </c>
      <c r="D13" s="8" t="s">
        <v>17</v>
      </c>
      <c r="E13" s="8" t="s">
        <v>18</v>
      </c>
      <c r="F13" s="8">
        <v>730</v>
      </c>
      <c r="G13" s="8" t="s">
        <v>19</v>
      </c>
      <c r="H13" s="8">
        <v>1</v>
      </c>
      <c r="I13" s="8" t="s">
        <v>50</v>
      </c>
      <c r="J13" s="9">
        <v>47.83</v>
      </c>
      <c r="K13" s="9">
        <v>47.83</v>
      </c>
      <c r="L13" s="9">
        <v>47.83</v>
      </c>
      <c r="M13" s="10">
        <v>0</v>
      </c>
      <c r="N13" s="11">
        <v>47.83</v>
      </c>
    </row>
    <row r="14" spans="1:14" ht="100" customHeight="1">
      <c r="A14" s="8" t="s">
        <v>51</v>
      </c>
      <c r="B14" s="8" t="s">
        <v>52</v>
      </c>
      <c r="C14" s="8" t="s">
        <v>16</v>
      </c>
      <c r="D14" s="8" t="s">
        <v>17</v>
      </c>
      <c r="E14" s="8" t="s">
        <v>18</v>
      </c>
      <c r="F14" s="8">
        <v>730</v>
      </c>
      <c r="G14" s="8" t="s">
        <v>19</v>
      </c>
      <c r="H14" s="8">
        <v>1</v>
      </c>
      <c r="I14" s="8" t="s">
        <v>53</v>
      </c>
      <c r="J14" s="9">
        <v>203.09</v>
      </c>
      <c r="K14" s="9">
        <v>203.09</v>
      </c>
      <c r="L14" s="9">
        <v>203.09</v>
      </c>
      <c r="M14" s="10">
        <v>0</v>
      </c>
      <c r="N14" s="11">
        <v>203.09</v>
      </c>
    </row>
    <row r="15" spans="1:14" ht="100" customHeight="1">
      <c r="A15" s="8" t="s">
        <v>54</v>
      </c>
      <c r="B15" s="8" t="s">
        <v>55</v>
      </c>
      <c r="C15" s="8" t="s">
        <v>16</v>
      </c>
      <c r="D15" s="8" t="s">
        <v>17</v>
      </c>
      <c r="E15" s="8" t="s">
        <v>18</v>
      </c>
      <c r="F15" s="8">
        <v>730</v>
      </c>
      <c r="G15" s="8" t="s">
        <v>19</v>
      </c>
      <c r="H15" s="8">
        <v>1</v>
      </c>
      <c r="I15" s="8" t="s">
        <v>56</v>
      </c>
      <c r="J15" s="9">
        <v>196.44</v>
      </c>
      <c r="K15" s="9">
        <v>196.44</v>
      </c>
      <c r="L15" s="9">
        <v>196.44</v>
      </c>
      <c r="M15" s="10">
        <v>0</v>
      </c>
      <c r="N15" s="11">
        <v>196.44</v>
      </c>
    </row>
    <row r="16" spans="1:14" ht="100" customHeight="1">
      <c r="A16" s="8" t="s">
        <v>57</v>
      </c>
      <c r="B16" s="8" t="s">
        <v>58</v>
      </c>
      <c r="C16" s="8" t="s">
        <v>16</v>
      </c>
      <c r="D16" s="8" t="s">
        <v>17</v>
      </c>
      <c r="E16" s="8" t="s">
        <v>18</v>
      </c>
      <c r="F16" s="8">
        <v>730</v>
      </c>
      <c r="G16" s="8" t="s">
        <v>19</v>
      </c>
      <c r="H16" s="8">
        <v>1</v>
      </c>
      <c r="I16" s="8" t="s">
        <v>56</v>
      </c>
      <c r="J16" s="9">
        <v>196.44</v>
      </c>
      <c r="K16" s="9">
        <v>196.44</v>
      </c>
      <c r="L16" s="9">
        <v>196.44</v>
      </c>
      <c r="M16" s="10">
        <v>0</v>
      </c>
      <c r="N16" s="11">
        <v>196.44</v>
      </c>
    </row>
    <row r="17" spans="1:14" ht="100" customHeight="1">
      <c r="A17" s="8" t="s">
        <v>59</v>
      </c>
      <c r="B17" s="8" t="s">
        <v>60</v>
      </c>
      <c r="C17" s="8" t="s">
        <v>16</v>
      </c>
      <c r="D17" s="8" t="s">
        <v>17</v>
      </c>
      <c r="E17" s="8" t="s">
        <v>18</v>
      </c>
      <c r="F17" s="8">
        <v>730</v>
      </c>
      <c r="G17" s="8" t="s">
        <v>19</v>
      </c>
      <c r="H17" s="8">
        <v>1</v>
      </c>
      <c r="I17" s="8" t="s">
        <v>61</v>
      </c>
      <c r="J17" s="9">
        <v>130.31</v>
      </c>
      <c r="K17" s="9">
        <v>130.31</v>
      </c>
      <c r="L17" s="9">
        <v>130.31</v>
      </c>
      <c r="M17" s="10">
        <v>0</v>
      </c>
      <c r="N17" s="11">
        <v>130.31</v>
      </c>
    </row>
    <row r="18" spans="1:14" ht="100" customHeight="1">
      <c r="A18" s="8" t="s">
        <v>62</v>
      </c>
      <c r="B18" s="8" t="s">
        <v>63</v>
      </c>
      <c r="C18" s="8" t="s">
        <v>16</v>
      </c>
      <c r="D18" s="8" t="s">
        <v>17</v>
      </c>
      <c r="E18" s="8" t="s">
        <v>18</v>
      </c>
      <c r="F18" s="8">
        <v>730</v>
      </c>
      <c r="G18" s="8" t="s">
        <v>19</v>
      </c>
      <c r="H18" s="8">
        <v>1</v>
      </c>
      <c r="I18" s="8" t="s">
        <v>64</v>
      </c>
      <c r="J18" s="9">
        <v>189.8</v>
      </c>
      <c r="K18" s="9">
        <v>189.8</v>
      </c>
      <c r="L18" s="9">
        <v>189.8</v>
      </c>
      <c r="M18" s="10">
        <v>0</v>
      </c>
      <c r="N18" s="11">
        <v>189.8</v>
      </c>
    </row>
    <row r="19" spans="1:14" ht="100" customHeight="1">
      <c r="A19" s="8" t="s">
        <v>65</v>
      </c>
      <c r="B19" s="8" t="s">
        <v>66</v>
      </c>
      <c r="C19" s="8" t="s">
        <v>16</v>
      </c>
      <c r="D19" s="8" t="s">
        <v>17</v>
      </c>
      <c r="E19" s="8" t="s">
        <v>18</v>
      </c>
      <c r="F19" s="8">
        <v>730</v>
      </c>
      <c r="G19" s="8" t="s">
        <v>19</v>
      </c>
      <c r="H19" s="8">
        <v>1</v>
      </c>
      <c r="I19" s="8" t="s">
        <v>64</v>
      </c>
      <c r="J19" s="9">
        <v>189.8</v>
      </c>
      <c r="K19" s="9">
        <v>189.8</v>
      </c>
      <c r="L19" s="9">
        <v>189.8</v>
      </c>
      <c r="M19" s="10">
        <v>0</v>
      </c>
      <c r="N19" s="11">
        <v>189.8</v>
      </c>
    </row>
    <row r="20" spans="1:14" ht="100" customHeight="1">
      <c r="A20" s="8" t="s">
        <v>67</v>
      </c>
      <c r="B20" s="8" t="s">
        <v>68</v>
      </c>
      <c r="C20" s="8" t="s">
        <v>16</v>
      </c>
      <c r="D20" s="8" t="s">
        <v>17</v>
      </c>
      <c r="E20" s="8" t="s">
        <v>18</v>
      </c>
      <c r="F20" s="8">
        <v>730</v>
      </c>
      <c r="G20" s="8" t="s">
        <v>19</v>
      </c>
      <c r="H20" s="8">
        <v>1</v>
      </c>
      <c r="I20" s="8" t="s">
        <v>69</v>
      </c>
      <c r="J20" s="9">
        <v>64.239999999999995</v>
      </c>
      <c r="K20" s="9">
        <v>64.239999999999995</v>
      </c>
      <c r="L20" s="9">
        <v>64.239999999999995</v>
      </c>
      <c r="M20" s="10">
        <v>0</v>
      </c>
      <c r="N20" s="11">
        <v>64.239999999999995</v>
      </c>
    </row>
    <row r="21" spans="1:14" ht="100" customHeight="1">
      <c r="A21" s="8" t="s">
        <v>70</v>
      </c>
      <c r="B21" s="8" t="s">
        <v>71</v>
      </c>
      <c r="C21" s="8" t="s">
        <v>16</v>
      </c>
      <c r="D21" s="8" t="s">
        <v>17</v>
      </c>
      <c r="E21" s="8" t="s">
        <v>18</v>
      </c>
      <c r="F21" s="8">
        <v>730</v>
      </c>
      <c r="G21" s="8" t="s">
        <v>19</v>
      </c>
      <c r="H21" s="8">
        <v>1</v>
      </c>
      <c r="I21" s="8" t="s">
        <v>72</v>
      </c>
      <c r="J21" s="9">
        <v>85.41</v>
      </c>
      <c r="K21" s="9">
        <v>85.41</v>
      </c>
      <c r="L21" s="9">
        <v>85.41</v>
      </c>
      <c r="M21" s="10">
        <v>0</v>
      </c>
      <c r="N21" s="11">
        <v>85.41</v>
      </c>
    </row>
    <row r="22" spans="1:14" ht="100" customHeight="1">
      <c r="A22" s="8" t="s">
        <v>73</v>
      </c>
      <c r="B22" s="8" t="s">
        <v>74</v>
      </c>
      <c r="C22" s="8" t="s">
        <v>16</v>
      </c>
      <c r="D22" s="8" t="s">
        <v>17</v>
      </c>
      <c r="E22" s="8" t="s">
        <v>18</v>
      </c>
      <c r="F22" s="8">
        <v>730</v>
      </c>
      <c r="G22" s="8" t="s">
        <v>19</v>
      </c>
      <c r="H22" s="8">
        <v>1</v>
      </c>
      <c r="I22" s="8" t="s">
        <v>75</v>
      </c>
      <c r="J22" s="9">
        <v>270.83</v>
      </c>
      <c r="K22" s="9">
        <v>270.83</v>
      </c>
      <c r="L22" s="9">
        <v>270.83</v>
      </c>
      <c r="M22" s="10">
        <v>0</v>
      </c>
      <c r="N22" s="11">
        <v>270.83</v>
      </c>
    </row>
    <row r="23" spans="1:14" ht="100" customHeight="1">
      <c r="A23" s="8" t="s">
        <v>76</v>
      </c>
      <c r="B23" s="8" t="s">
        <v>77</v>
      </c>
      <c r="C23" s="8" t="s">
        <v>16</v>
      </c>
      <c r="D23" s="8" t="s">
        <v>17</v>
      </c>
      <c r="E23" s="8" t="s">
        <v>18</v>
      </c>
      <c r="F23" s="8">
        <v>730</v>
      </c>
      <c r="G23" s="8" t="s">
        <v>19</v>
      </c>
      <c r="H23" s="8">
        <v>1</v>
      </c>
      <c r="I23" s="8" t="s">
        <v>78</v>
      </c>
      <c r="J23" s="9">
        <v>66.58</v>
      </c>
      <c r="K23" s="9">
        <v>66.58</v>
      </c>
      <c r="L23" s="9">
        <v>66.58</v>
      </c>
      <c r="M23" s="10">
        <v>0</v>
      </c>
      <c r="N23" s="11">
        <v>66.58</v>
      </c>
    </row>
    <row r="24" spans="1:14" ht="100" customHeight="1">
      <c r="A24" s="8" t="s">
        <v>79</v>
      </c>
      <c r="B24" s="8" t="s">
        <v>80</v>
      </c>
      <c r="C24" s="8" t="s">
        <v>16</v>
      </c>
      <c r="D24" s="8" t="s">
        <v>17</v>
      </c>
      <c r="E24" s="8" t="s">
        <v>18</v>
      </c>
      <c r="F24" s="8">
        <v>730</v>
      </c>
      <c r="G24" s="8" t="s">
        <v>19</v>
      </c>
      <c r="H24" s="8">
        <v>1</v>
      </c>
      <c r="I24" s="8" t="s">
        <v>81</v>
      </c>
      <c r="J24" s="9">
        <v>28.47</v>
      </c>
      <c r="K24" s="9">
        <v>28.47</v>
      </c>
      <c r="L24" s="9">
        <v>28.47</v>
      </c>
      <c r="M24" s="10">
        <v>0</v>
      </c>
      <c r="N24" s="11">
        <v>28.47</v>
      </c>
    </row>
    <row r="25" spans="1:14" ht="100" customHeight="1">
      <c r="A25" s="8" t="s">
        <v>82</v>
      </c>
      <c r="B25" s="8" t="s">
        <v>83</v>
      </c>
      <c r="C25" s="8" t="s">
        <v>16</v>
      </c>
      <c r="D25" s="8" t="s">
        <v>17</v>
      </c>
      <c r="E25" s="8" t="s">
        <v>18</v>
      </c>
      <c r="F25" s="8">
        <v>730</v>
      </c>
      <c r="G25" s="8" t="s">
        <v>19</v>
      </c>
      <c r="H25" s="8">
        <v>1</v>
      </c>
      <c r="I25" s="8" t="s">
        <v>84</v>
      </c>
      <c r="J25" s="9">
        <v>91.47</v>
      </c>
      <c r="K25" s="9">
        <v>91.47</v>
      </c>
      <c r="L25" s="9">
        <v>91.47</v>
      </c>
      <c r="M25" s="10">
        <v>0</v>
      </c>
      <c r="N25" s="11">
        <v>91.47</v>
      </c>
    </row>
    <row r="26" spans="1:14" ht="100" customHeight="1">
      <c r="A26" s="8" t="s">
        <v>85</v>
      </c>
      <c r="B26" s="8" t="s">
        <v>86</v>
      </c>
      <c r="C26" s="8" t="s">
        <v>16</v>
      </c>
      <c r="D26" s="8" t="s">
        <v>17</v>
      </c>
      <c r="E26" s="8" t="s">
        <v>18</v>
      </c>
      <c r="F26" s="8">
        <v>730</v>
      </c>
      <c r="G26" s="8" t="s">
        <v>19</v>
      </c>
      <c r="H26" s="8">
        <v>10</v>
      </c>
      <c r="I26" s="8" t="s">
        <v>87</v>
      </c>
      <c r="J26" s="9">
        <v>26.57</v>
      </c>
      <c r="K26" s="9">
        <v>26.57</v>
      </c>
      <c r="L26" s="9">
        <v>265.72000000000003</v>
      </c>
      <c r="M26" s="10">
        <v>0</v>
      </c>
      <c r="N26" s="11">
        <v>265.72000000000003</v>
      </c>
    </row>
    <row r="27" spans="1:14" ht="100" customHeight="1">
      <c r="A27" s="8" t="s">
        <v>88</v>
      </c>
      <c r="B27" s="8" t="s">
        <v>89</v>
      </c>
      <c r="C27" s="8" t="s">
        <v>16</v>
      </c>
      <c r="D27" s="8" t="s">
        <v>17</v>
      </c>
      <c r="E27" s="8" t="s">
        <v>18</v>
      </c>
      <c r="F27" s="8">
        <v>730</v>
      </c>
      <c r="G27" s="8" t="s">
        <v>19</v>
      </c>
      <c r="H27" s="8">
        <v>1</v>
      </c>
      <c r="I27" s="8" t="s">
        <v>90</v>
      </c>
      <c r="J27" s="9">
        <v>70.37</v>
      </c>
      <c r="K27" s="9">
        <v>70.37</v>
      </c>
      <c r="L27" s="9">
        <v>70.37</v>
      </c>
      <c r="M27" s="10">
        <v>0</v>
      </c>
      <c r="N27" s="11">
        <v>70.37</v>
      </c>
    </row>
    <row r="28" spans="1:14" ht="100" customHeight="1">
      <c r="A28" s="8" t="s">
        <v>91</v>
      </c>
      <c r="B28" s="8" t="s">
        <v>92</v>
      </c>
      <c r="C28" s="8" t="s">
        <v>16</v>
      </c>
      <c r="D28" s="8" t="s">
        <v>17</v>
      </c>
      <c r="E28" s="8" t="s">
        <v>18</v>
      </c>
      <c r="F28" s="8">
        <v>730</v>
      </c>
      <c r="G28" s="8" t="s">
        <v>19</v>
      </c>
      <c r="H28" s="8">
        <v>1</v>
      </c>
      <c r="I28" s="8" t="s">
        <v>93</v>
      </c>
      <c r="J28" s="9">
        <v>67.05</v>
      </c>
      <c r="K28" s="9">
        <v>67.05</v>
      </c>
      <c r="L28" s="9">
        <v>67.05</v>
      </c>
      <c r="M28" s="10">
        <v>0</v>
      </c>
      <c r="N28" s="11">
        <v>67.05</v>
      </c>
    </row>
    <row r="29" spans="1:14" ht="100" customHeight="1">
      <c r="A29" s="8" t="s">
        <v>94</v>
      </c>
      <c r="B29" s="8" t="s">
        <v>95</v>
      </c>
      <c r="C29" s="8" t="s">
        <v>16</v>
      </c>
      <c r="D29" s="8" t="s">
        <v>17</v>
      </c>
      <c r="E29" s="8" t="s">
        <v>96</v>
      </c>
      <c r="F29" s="8">
        <v>1</v>
      </c>
      <c r="G29" s="8" t="s">
        <v>97</v>
      </c>
      <c r="H29" s="8">
        <v>1</v>
      </c>
      <c r="I29" s="8" t="s">
        <v>98</v>
      </c>
      <c r="J29" s="9">
        <v>520.04999999999995</v>
      </c>
      <c r="K29" s="9">
        <v>520.04999999999995</v>
      </c>
      <c r="L29" s="9">
        <v>520.04999999999995</v>
      </c>
      <c r="M29" s="10">
        <v>0</v>
      </c>
      <c r="N29" s="11">
        <v>520.04999999999995</v>
      </c>
    </row>
    <row r="30" spans="1:14" ht="100" customHeight="1">
      <c r="A30" s="8" t="s">
        <v>99</v>
      </c>
      <c r="B30" s="8" t="s">
        <v>100</v>
      </c>
      <c r="C30" s="8" t="s">
        <v>16</v>
      </c>
      <c r="D30" s="8" t="s">
        <v>17</v>
      </c>
      <c r="E30" s="8" t="s">
        <v>96</v>
      </c>
      <c r="F30" s="8">
        <v>1</v>
      </c>
      <c r="G30" s="8" t="s">
        <v>97</v>
      </c>
      <c r="H30" s="8">
        <v>1</v>
      </c>
      <c r="I30" s="8" t="s">
        <v>101</v>
      </c>
      <c r="J30" s="9">
        <v>225.02</v>
      </c>
      <c r="K30" s="9">
        <v>225.02</v>
      </c>
      <c r="L30" s="9">
        <v>225.02</v>
      </c>
      <c r="M30" s="10">
        <v>0</v>
      </c>
      <c r="N30" s="11">
        <v>225.02</v>
      </c>
    </row>
    <row r="31" spans="1:14" ht="100" customHeight="1">
      <c r="A31" s="8" t="s">
        <v>102</v>
      </c>
      <c r="B31" s="8" t="s">
        <v>103</v>
      </c>
      <c r="C31" s="8" t="s">
        <v>16</v>
      </c>
      <c r="D31" s="8" t="s">
        <v>17</v>
      </c>
      <c r="E31" s="8" t="s">
        <v>96</v>
      </c>
      <c r="F31" s="8">
        <v>1</v>
      </c>
      <c r="G31" s="8" t="s">
        <v>97</v>
      </c>
      <c r="H31" s="8">
        <v>1</v>
      </c>
      <c r="I31" s="8" t="s">
        <v>104</v>
      </c>
      <c r="J31" s="9">
        <v>57.3</v>
      </c>
      <c r="K31" s="9">
        <v>57.3</v>
      </c>
      <c r="L31" s="9">
        <v>57.3</v>
      </c>
      <c r="M31" s="10">
        <v>0</v>
      </c>
      <c r="N31" s="11">
        <v>57.3</v>
      </c>
    </row>
    <row r="32" spans="1:14" ht="100" customHeight="1">
      <c r="A32" s="8" t="s">
        <v>105</v>
      </c>
      <c r="B32" s="8" t="s">
        <v>106</v>
      </c>
      <c r="C32" s="8" t="s">
        <v>16</v>
      </c>
      <c r="D32" s="8" t="s">
        <v>17</v>
      </c>
      <c r="E32" s="8" t="s">
        <v>18</v>
      </c>
      <c r="F32" s="8">
        <v>730</v>
      </c>
      <c r="G32" s="8" t="s">
        <v>19</v>
      </c>
      <c r="H32" s="8">
        <v>1</v>
      </c>
      <c r="I32" s="8" t="s">
        <v>107</v>
      </c>
      <c r="J32" s="9">
        <v>86.59</v>
      </c>
      <c r="K32" s="9">
        <v>86.59</v>
      </c>
      <c r="L32" s="9">
        <v>86.59</v>
      </c>
      <c r="M32" s="10">
        <v>0</v>
      </c>
      <c r="N32" s="11">
        <v>86.59</v>
      </c>
    </row>
    <row r="33" spans="1:14" ht="100" customHeight="1">
      <c r="A33" s="8" t="s">
        <v>108</v>
      </c>
      <c r="B33" s="8" t="s">
        <v>109</v>
      </c>
      <c r="C33" s="8" t="s">
        <v>16</v>
      </c>
      <c r="D33" s="8" t="s">
        <v>17</v>
      </c>
      <c r="E33" s="8" t="s">
        <v>18</v>
      </c>
      <c r="F33" s="8">
        <v>730</v>
      </c>
      <c r="G33" s="8" t="s">
        <v>19</v>
      </c>
      <c r="H33" s="8">
        <v>1</v>
      </c>
      <c r="I33" s="8" t="s">
        <v>110</v>
      </c>
      <c r="J33" s="9">
        <v>2876.4</v>
      </c>
      <c r="K33" s="9">
        <v>2876.4</v>
      </c>
      <c r="L33" s="9">
        <v>2876.4</v>
      </c>
      <c r="M33" s="10">
        <v>0</v>
      </c>
      <c r="N33" s="11">
        <v>2876.4</v>
      </c>
    </row>
    <row r="34" spans="1:14" ht="100" customHeight="1">
      <c r="A34" s="8" t="s">
        <v>111</v>
      </c>
      <c r="B34" s="8" t="s">
        <v>112</v>
      </c>
      <c r="C34" s="8" t="s">
        <v>16</v>
      </c>
      <c r="D34" s="8" t="s">
        <v>17</v>
      </c>
      <c r="E34" s="8" t="s">
        <v>18</v>
      </c>
      <c r="F34" s="8">
        <v>730</v>
      </c>
      <c r="G34" s="8" t="s">
        <v>19</v>
      </c>
      <c r="H34" s="8">
        <v>1</v>
      </c>
      <c r="I34" s="8" t="s">
        <v>113</v>
      </c>
      <c r="J34" s="9">
        <v>4643.59</v>
      </c>
      <c r="K34" s="9">
        <v>4643.59</v>
      </c>
      <c r="L34" s="9">
        <v>4643.59</v>
      </c>
      <c r="M34" s="10">
        <v>0</v>
      </c>
      <c r="N34" s="11">
        <v>4643.59</v>
      </c>
    </row>
    <row r="35" spans="1:14" ht="100" customHeight="1">
      <c r="A35" s="8" t="s">
        <v>114</v>
      </c>
      <c r="B35" s="8" t="s">
        <v>115</v>
      </c>
      <c r="C35" s="8" t="s">
        <v>16</v>
      </c>
      <c r="D35" s="8" t="s">
        <v>17</v>
      </c>
      <c r="E35" s="8" t="s">
        <v>18</v>
      </c>
      <c r="F35" s="8">
        <v>730</v>
      </c>
      <c r="G35" s="8" t="s">
        <v>19</v>
      </c>
      <c r="H35" s="8">
        <v>1</v>
      </c>
      <c r="I35" s="8" t="s">
        <v>20</v>
      </c>
      <c r="J35" s="9">
        <v>160.88999999999999</v>
      </c>
      <c r="K35" s="9">
        <v>160.88999999999999</v>
      </c>
      <c r="L35" s="9">
        <v>160.88999999999999</v>
      </c>
      <c r="M35" s="10">
        <v>0</v>
      </c>
      <c r="N35" s="11">
        <v>160.88999999999999</v>
      </c>
    </row>
    <row r="36" spans="1:14" ht="100" customHeight="1">
      <c r="A36" s="8" t="s">
        <v>116</v>
      </c>
      <c r="B36" s="8" t="s">
        <v>117</v>
      </c>
      <c r="C36" s="8" t="s">
        <v>16</v>
      </c>
      <c r="D36" s="8" t="s">
        <v>17</v>
      </c>
      <c r="E36" s="8" t="s">
        <v>96</v>
      </c>
      <c r="F36" s="8">
        <v>1</v>
      </c>
      <c r="G36" s="8" t="s">
        <v>97</v>
      </c>
      <c r="H36" s="8">
        <v>1</v>
      </c>
      <c r="I36" s="8" t="s">
        <v>118</v>
      </c>
      <c r="J36" s="9">
        <v>450</v>
      </c>
      <c r="K36" s="9">
        <v>450</v>
      </c>
      <c r="L36" s="9">
        <v>450</v>
      </c>
      <c r="M36" s="10">
        <v>0</v>
      </c>
      <c r="N36" s="11">
        <v>450</v>
      </c>
    </row>
    <row r="37" spans="1:14" ht="100" customHeight="1">
      <c r="A37" s="8" t="s">
        <v>94</v>
      </c>
      <c r="B37" s="8" t="s">
        <v>95</v>
      </c>
      <c r="C37" s="8" t="s">
        <v>16</v>
      </c>
      <c r="D37" s="8" t="s">
        <v>17</v>
      </c>
      <c r="E37" s="8" t="s">
        <v>96</v>
      </c>
      <c r="F37" s="8">
        <v>1</v>
      </c>
      <c r="G37" s="8" t="s">
        <v>97</v>
      </c>
      <c r="H37" s="8">
        <v>1</v>
      </c>
      <c r="I37" s="8" t="s">
        <v>119</v>
      </c>
      <c r="J37" s="9">
        <v>258.04000000000002</v>
      </c>
      <c r="K37" s="9">
        <v>258.04000000000002</v>
      </c>
      <c r="L37" s="9">
        <v>258.04000000000002</v>
      </c>
      <c r="M37" s="10">
        <v>0</v>
      </c>
      <c r="N37" s="11">
        <v>258.04000000000002</v>
      </c>
    </row>
    <row r="38" spans="1:14" ht="40" customHeight="1" thickBot="1">
      <c r="A38" s="13" t="s">
        <v>120</v>
      </c>
      <c r="B38" s="13"/>
      <c r="C38" s="13"/>
      <c r="D38" s="13"/>
      <c r="E38" s="13"/>
      <c r="F38" s="13"/>
      <c r="G38" s="13"/>
      <c r="H38" s="13"/>
      <c r="I38" s="13"/>
      <c r="J38" s="14">
        <f>SUM(J3:J37)</f>
        <v>12781.99</v>
      </c>
      <c r="K38" s="14">
        <f t="shared" ref="K38:L38" si="0">SUM(K3:K37)</f>
        <v>12781.99</v>
      </c>
      <c r="L38" s="14">
        <f t="shared" si="0"/>
        <v>13021.140000000001</v>
      </c>
      <c r="M38" s="15">
        <v>0</v>
      </c>
      <c r="N38" s="16">
        <f>SUM(N3:N37)</f>
        <v>13021.140000000001</v>
      </c>
    </row>
    <row r="39" spans="1:14" ht="40" customHeight="1" thickBot="1">
      <c r="A39" s="17" t="s">
        <v>120</v>
      </c>
      <c r="B39" s="17"/>
      <c r="C39" s="17"/>
      <c r="D39" s="17"/>
      <c r="E39" s="17"/>
      <c r="F39" s="17"/>
      <c r="G39" s="17"/>
      <c r="H39" s="17"/>
      <c r="I39" s="17"/>
      <c r="J39" s="18"/>
      <c r="K39" s="18"/>
      <c r="L39" s="18"/>
      <c r="M39" s="19"/>
      <c r="N39" s="20">
        <f>N38</f>
        <v>13021.140000000001</v>
      </c>
    </row>
    <row r="40" spans="1:14" ht="16.5">
      <c r="A40" s="21" t="s">
        <v>121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4" spans="1:14">
      <c r="B44" s="22" t="s">
        <v>122</v>
      </c>
      <c r="C44" s="23">
        <f>SUM(N3:N28,N34,N35,N37,N29:N32)</f>
        <v>9694.739999999998</v>
      </c>
    </row>
    <row r="45" spans="1:14">
      <c r="C45" s="24">
        <f>C44/31</f>
        <v>312.73354838709673</v>
      </c>
    </row>
    <row r="47" spans="1:14">
      <c r="B47" s="22" t="s">
        <v>123</v>
      </c>
      <c r="C47" s="23">
        <f>SUM(N3:N35)</f>
        <v>12313.1</v>
      </c>
    </row>
    <row r="48" spans="1:14">
      <c r="B48" s="25" t="s">
        <v>124</v>
      </c>
      <c r="C48" s="24">
        <f>C47/30</f>
        <v>410.43666666666667</v>
      </c>
    </row>
  </sheetData>
  <mergeCells count="4">
    <mergeCell ref="A1:N1"/>
    <mergeCell ref="A38:I38"/>
    <mergeCell ref="A39:I39"/>
    <mergeCell ref="A40:N4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Calculator - PPU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Hilaick Yard</dc:creator>
  <cp:lastModifiedBy>Hilaick Yard</cp:lastModifiedBy>
  <dcterms:created xsi:type="dcterms:W3CDTF">2026-05-27T05:56:53Z</dcterms:created>
  <dcterms:modified xsi:type="dcterms:W3CDTF">2026-05-27T05:57:53Z</dcterms:modified>
</cp:coreProperties>
</file>