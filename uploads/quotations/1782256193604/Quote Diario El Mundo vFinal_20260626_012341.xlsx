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F71FC218-88CD-4660-BBEF-99739578D93E}" xr6:coauthVersionLast="47" xr6:coauthVersionMax="47" xr10:uidLastSave="{00000000-0000-0000-0000-000000000000}"/>
  <bookViews>
    <workbookView xWindow="-108" yWindow="-108" windowWidth="23256" windowHeight="14856" xr2:uid="{00000000-000D-0000-FFFF-FFFF00000000}"/>
  </bookViews>
  <sheets>
    <sheet name="Price Calculator (Detailed) De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8" i="1" l="1"/>
  <c r="I29" i="1" s="1"/>
  <c r="G28" i="1"/>
  <c r="G29" i="1" s="1"/>
</calcChain>
</file>

<file path=xl/sharedStrings.xml><?xml version="1.0" encoding="utf-8"?>
<sst xmlns="http://schemas.openxmlformats.org/spreadsheetml/2006/main" count="131" uniqueCount="82">
  <si>
    <t>SV - Diario El Mundo</t>
  </si>
  <si>
    <t>Service</t>
  </si>
  <si>
    <t>Description</t>
  </si>
  <si>
    <t>Region</t>
  </si>
  <si>
    <t>AZ</t>
  </si>
  <si>
    <t>Billing Mode</t>
  </si>
  <si>
    <t>Purchase Amount</t>
  </si>
  <si>
    <t>Original Price (USD)</t>
  </si>
  <si>
    <t>Discount Amount (USD)</t>
  </si>
  <si>
    <t>Discounted Price (USD)</t>
  </si>
  <si>
    <t>Flexus X Instance 1</t>
  </si>
  <si>
    <t>Flexus X Instance</t>
  </si>
  <si>
    <t>LA-Mexico City2</t>
  </si>
  <si>
    <t xml:space="preserve">General AZ </t>
  </si>
  <si>
    <t>Monthly</t>
  </si>
  <si>
    <t>1 month,1 HECS</t>
  </si>
  <si>
    <t xml:space="preserve">  Type</t>
  </si>
  <si>
    <t>Flexus X Instance | x0.2u.4g | 2vCPUs | 4GB</t>
  </si>
  <si>
    <t>ProductId: OFFI1106469442298421254</t>
  </si>
  <si>
    <t>1 month,*1</t>
  </si>
  <si>
    <t xml:space="preserve">  Image</t>
  </si>
  <si>
    <t>AlmaLinux | AlmaLinux 9.0 64bit</t>
  </si>
  <si>
    <t xml:space="preserve">  System Disk</t>
  </si>
  <si>
    <t>General Purpose SSD | 150GB</t>
  </si>
  <si>
    <t>ProductId: OFFI647691142630694912</t>
  </si>
  <si>
    <t>Flexus X Instance 2</t>
  </si>
  <si>
    <t>Relational Database Service 1</t>
  </si>
  <si>
    <t>Relational Database Service</t>
  </si>
  <si>
    <t>1 month,1 PCS</t>
  </si>
  <si>
    <t xml:space="preserve">General AZ | MySQL | 8.0 | Primary/Standby | Dedicated | 2vCPUs, 8GB </t>
  </si>
  <si>
    <t>ProductId: OFFI1000302161888329728</t>
  </si>
  <si>
    <t xml:space="preserve">  Storage</t>
  </si>
  <si>
    <t>Cloud SSD | 150GB</t>
  </si>
  <si>
    <t>ProductId: OFFI1000301475034279937</t>
  </si>
  <si>
    <t>Elastic IP 1</t>
  </si>
  <si>
    <t>Elastic IP</t>
  </si>
  <si>
    <t>Pay-per-use</t>
  </si>
  <si>
    <t>744 hours</t>
  </si>
  <si>
    <t xml:space="preserve">  Bandwidth Price</t>
  </si>
  <si>
    <t>Dedicated | Dynamic BGP | Traffic | 1TB</t>
  </si>
  <si>
    <t>ProductId: OFFI580665045183791104</t>
  </si>
  <si>
    <t xml:space="preserve">  EIP Price</t>
  </si>
  <si>
    <t xml:space="preserve">1 </t>
  </si>
  <si>
    <t>ProductId: OFFI579940772131536896</t>
  </si>
  <si>
    <t>Content Delivery Network 1</t>
  </si>
  <si>
    <t>Content Delivery Network</t>
  </si>
  <si>
    <t>Global</t>
  </si>
  <si>
    <t xml:space="preserve">  Region</t>
  </si>
  <si>
    <t>International | Normal traffic package | 1TB | 1 month</t>
  </si>
  <si>
    <t>ProductId: OFFI929301327409172492</t>
  </si>
  <si>
    <t>Whole Site Acceleration 1</t>
  </si>
  <si>
    <t>Whole Site Acceleration</t>
  </si>
  <si>
    <t>Yearly</t>
  </si>
  <si>
    <t>1 Year,2 PCS</t>
  </si>
  <si>
    <t xml:space="preserve">  Resource Package Type</t>
  </si>
  <si>
    <t>Request times package for Outside Chinese mainland | 1000Ten thousand times | 1 year</t>
  </si>
  <si>
    <t>ProductId: OFFI989107472020951040</t>
  </si>
  <si>
    <t>1 Year,*2</t>
  </si>
  <si>
    <t>Host Security Service 1</t>
  </si>
  <si>
    <t>Host Security Service</t>
  </si>
  <si>
    <t>CN-Hong Kong</t>
  </si>
  <si>
    <t>1 month,2 PCS</t>
  </si>
  <si>
    <t xml:space="preserve">  Edition</t>
  </si>
  <si>
    <t>Premium</t>
  </si>
  <si>
    <t>ProductId: 00301-230065-0--0</t>
  </si>
  <si>
    <t>1 month,*2</t>
  </si>
  <si>
    <t>Cloud Backup and Recovery 1</t>
  </si>
  <si>
    <t>Cloud Backup and Recovery</t>
  </si>
  <si>
    <t>1 month</t>
  </si>
  <si>
    <t xml:space="preserve">  Vault Type</t>
  </si>
  <si>
    <t>Server backup vault | 1024GB</t>
  </si>
  <si>
    <t>ProductId: OFFI507489216795533313</t>
  </si>
  <si>
    <t>Elastic Load Balance 1</t>
  </si>
  <si>
    <t>Elastic Load Balance</t>
  </si>
  <si>
    <t xml:space="preserve">  Network load balancing (TCP/UDP/TLS)</t>
  </si>
  <si>
    <t>Central AZ | 40 LCU</t>
  </si>
  <si>
    <t>ProductId: OFFI1156546099172732929</t>
  </si>
  <si>
    <t>Total Price</t>
  </si>
  <si>
    <t>The preceding price is for reference only and may vary from the final price in your bill</t>
  </si>
  <si>
    <t xml:space="preserve">Web Application Firewall </t>
  </si>
  <si>
    <t>LA-Mexico City</t>
  </si>
  <si>
    <t xml:space="preserve">Web Application Firewall 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</si>
</sst>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###"/>
  </numFmts>
  <fonts count="7" x14ac:knownFonts="1">
    <font>
      <sz val="11"/>
      <color theme="1"/>
      <name val="Calibri"/>
      <family val="2"/>
      <scheme val="minor"/>
    </font>
    <font>
      <sz val="14"/>
      <color rgb="FFFFFFF0"/>
      <name val="微软雅黑"/>
    </font>
    <font>
      <sz val="12"/>
      <name val="微软雅黑"/>
    </font>
    <font>
      <sz val="12"/>
      <color rgb="FFCD2626"/>
      <name val="微软雅黑"/>
    </font>
    <font>
      <sz val="12"/>
      <color rgb="FF8F8F8F"/>
      <name val="微软雅黑"/>
    </font>
    <font>
      <sz val="12"/>
      <color rgb="FF00CD00"/>
      <name val="微软雅黑"/>
    </font>
    <font>
      <b/>
      <sz val="12"/>
      <name val="微软雅黑"/>
    </font>
  </fonts>
  <fills count="5">
    <fill>
      <patternFill patternType="none"/>
    </fill>
    <fill>
      <patternFill patternType="gray125"/>
    </fill>
    <fill>
      <patternFill patternType="solid">
        <fgColor rgb="FF1874CD"/>
      </patternFill>
    </fill>
    <fill>
      <patternFill patternType="solid">
        <fgColor rgb="FFDBDBDB"/>
      </patternFill>
    </fill>
    <fill>
      <patternFill patternType="solid">
        <fgColor rgb="FFF5F5F5"/>
      </patternFill>
    </fill>
  </fills>
  <borders count="6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medium">
        <color auto="1"/>
      </bottom>
      <diagonal/>
    </border>
    <border>
      <left style="thin">
        <color rgb="FFDBDBDB"/>
      </left>
      <right style="thin">
        <color rgb="FFDBDBDB"/>
      </right>
      <top/>
      <bottom style="medium">
        <color auto="1"/>
      </bottom>
      <diagonal/>
    </border>
    <border>
      <left style="thin">
        <color rgb="FFFFFFFF"/>
      </left>
      <right/>
      <top/>
      <bottom style="medium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4" fontId="2" fillId="0" borderId="3" xfId="0" applyNumberFormat="1" applyFont="1" applyBorder="1" applyAlignment="1">
      <alignment horizontal="right" vertical="center" wrapText="1"/>
    </xf>
    <xf numFmtId="4" fontId="5" fillId="0" borderId="3" xfId="0" applyNumberFormat="1" applyFont="1" applyBorder="1" applyAlignment="1">
      <alignment horizontal="right" vertical="center" wrapText="1"/>
    </xf>
    <xf numFmtId="4" fontId="2" fillId="3" borderId="4" xfId="0" applyNumberFormat="1" applyFont="1" applyFill="1" applyBorder="1" applyAlignment="1">
      <alignment horizontal="right" vertical="center" wrapText="1"/>
    </xf>
    <xf numFmtId="4" fontId="5" fillId="3" borderId="4" xfId="0" applyNumberFormat="1" applyFont="1" applyFill="1" applyBorder="1" applyAlignment="1">
      <alignment horizontal="right" vertical="center" wrapText="1"/>
    </xf>
    <xf numFmtId="4" fontId="3" fillId="3" borderId="5" xfId="0" applyNumberFormat="1" applyFont="1" applyFill="1" applyBorder="1" applyAlignment="1">
      <alignment horizontal="right" vertical="center" wrapText="1"/>
    </xf>
    <xf numFmtId="0" fontId="2" fillId="0" borderId="3" xfId="0" applyFont="1" applyBorder="1" applyAlignment="1">
      <alignment horizontal="left" vertical="center" wrapText="1"/>
    </xf>
    <xf numFmtId="0" fontId="6" fillId="3" borderId="3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0" fontId="2" fillId="0" borderId="0" xfId="0" applyFont="1" applyAlignment="1"/>
    <xf numFmtId="0" fontId="2" fillId="0" borderId="2" xfId="0" applyFont="1" applyBorder="1" applyAlignment="1">
      <alignment horizontal="left" vertical="center"/>
    </xf>
    <xf numFmtId="4" fontId="2" fillId="0" borderId="2" xfId="0" applyNumberFormat="1" applyFont="1" applyBorder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4" fontId="3" fillId="0" borderId="0" xfId="0" applyNumberFormat="1" applyFont="1" applyBorder="1" applyAlignment="1">
      <alignment horizontal="right" vertical="center"/>
    </xf>
    <xf numFmtId="0" fontId="0" fillId="0" borderId="0" xfId="0" applyAlignment="1"/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164" fontId="2" fillId="4" borderId="0" xfId="0" applyNumberFormat="1" applyFont="1" applyFill="1" applyAlignment="1">
      <alignment horizontal="right" vertical="center"/>
    </xf>
    <xf numFmtId="164" fontId="5" fillId="4" borderId="0" xfId="0" applyNumberFormat="1" applyFont="1" applyFill="1" applyAlignment="1">
      <alignment horizontal="right" vertical="center"/>
    </xf>
    <xf numFmtId="164" fontId="5" fillId="4" borderId="0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tabSelected="1" zoomScale="47" zoomScaleNormal="100" workbookViewId="0">
      <selection activeCell="F39" sqref="F39"/>
    </sheetView>
  </sheetViews>
  <sheetFormatPr defaultRowHeight="14.4" x14ac:dyDescent="0.3"/>
  <cols>
    <col min="1" max="1" width="42.88671875" customWidth="1"/>
    <col min="2" max="2" width="44.21875" customWidth="1"/>
    <col min="3" max="3" width="50" customWidth="1"/>
    <col min="4" max="4" width="25" customWidth="1"/>
    <col min="5" max="5" width="30.88671875" bestFit="1" customWidth="1"/>
    <col min="6" max="6" width="25" customWidth="1"/>
    <col min="7" max="7" width="20" customWidth="1"/>
    <col min="8" max="8" width="25" customWidth="1"/>
    <col min="9" max="9" width="20" customWidth="1"/>
  </cols>
  <sheetData>
    <row r="1" spans="1:9" s="1" customFormat="1" ht="90" customHeight="1" x14ac:dyDescent="0.4">
      <c r="A1" s="10" t="s">
        <v>0</v>
      </c>
      <c r="B1" s="10"/>
      <c r="C1" s="10"/>
      <c r="D1" s="10"/>
      <c r="E1" s="10"/>
      <c r="F1" s="10"/>
      <c r="G1" s="10"/>
      <c r="H1" s="10"/>
      <c r="I1" s="11"/>
    </row>
    <row r="2" spans="1:9" s="15" customFormat="1" ht="49.95" customHeight="1" x14ac:dyDescent="0.4">
      <c r="A2" s="12" t="s">
        <v>1</v>
      </c>
      <c r="B2" s="12" t="s">
        <v>2</v>
      </c>
      <c r="C2" s="12" t="s">
        <v>3</v>
      </c>
      <c r="D2" s="12" t="s">
        <v>4</v>
      </c>
      <c r="E2" s="12" t="s">
        <v>5</v>
      </c>
      <c r="F2" s="12" t="s">
        <v>6</v>
      </c>
      <c r="G2" s="13" t="s">
        <v>7</v>
      </c>
      <c r="H2" s="13" t="s">
        <v>8</v>
      </c>
      <c r="I2" s="14" t="s">
        <v>9</v>
      </c>
    </row>
    <row r="3" spans="1:9" s="20" customFormat="1" ht="40.049999999999997" customHeight="1" x14ac:dyDescent="0.3">
      <c r="A3" s="16" t="s">
        <v>10</v>
      </c>
      <c r="B3" s="16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7">
        <v>38.28</v>
      </c>
      <c r="H3" s="18">
        <v>0</v>
      </c>
      <c r="I3" s="19">
        <v>38.28</v>
      </c>
    </row>
    <row r="4" spans="1:9" s="20" customFormat="1" ht="17.399999999999999" x14ac:dyDescent="0.3">
      <c r="A4" s="21" t="s">
        <v>16</v>
      </c>
      <c r="B4" s="22" t="s">
        <v>17</v>
      </c>
      <c r="C4" s="22"/>
      <c r="D4" s="22"/>
      <c r="E4" s="21" t="s">
        <v>18</v>
      </c>
      <c r="F4" s="21" t="s">
        <v>19</v>
      </c>
      <c r="G4" s="23">
        <v>24.18</v>
      </c>
      <c r="H4" s="24">
        <v>0</v>
      </c>
      <c r="I4" s="25">
        <v>24.18</v>
      </c>
    </row>
    <row r="5" spans="1:9" s="20" customFormat="1" ht="17.399999999999999" x14ac:dyDescent="0.3">
      <c r="A5" s="21" t="s">
        <v>20</v>
      </c>
      <c r="B5" s="22" t="s">
        <v>21</v>
      </c>
      <c r="C5" s="22"/>
      <c r="D5" s="22"/>
      <c r="E5" s="21"/>
      <c r="F5" s="21" t="s">
        <v>19</v>
      </c>
      <c r="G5" s="23">
        <v>0</v>
      </c>
      <c r="H5" s="24">
        <v>0</v>
      </c>
      <c r="I5" s="25">
        <v>0</v>
      </c>
    </row>
    <row r="6" spans="1:9" s="20" customFormat="1" ht="17.399999999999999" x14ac:dyDescent="0.3">
      <c r="A6" s="21" t="s">
        <v>22</v>
      </c>
      <c r="B6" s="22" t="s">
        <v>23</v>
      </c>
      <c r="C6" s="22"/>
      <c r="D6" s="22"/>
      <c r="E6" s="21" t="s">
        <v>24</v>
      </c>
      <c r="F6" s="21" t="s">
        <v>19</v>
      </c>
      <c r="G6" s="23">
        <v>14.1</v>
      </c>
      <c r="H6" s="24">
        <v>0</v>
      </c>
      <c r="I6" s="25">
        <v>14.1</v>
      </c>
    </row>
    <row r="7" spans="1:9" s="20" customFormat="1" ht="40.049999999999997" customHeight="1" x14ac:dyDescent="0.3">
      <c r="A7" s="16" t="s">
        <v>25</v>
      </c>
      <c r="B7" s="16" t="s">
        <v>11</v>
      </c>
      <c r="C7" s="16" t="s">
        <v>12</v>
      </c>
      <c r="D7" s="16" t="s">
        <v>13</v>
      </c>
      <c r="E7" s="16" t="s">
        <v>14</v>
      </c>
      <c r="F7" s="16" t="s">
        <v>15</v>
      </c>
      <c r="G7" s="17">
        <v>38.28</v>
      </c>
      <c r="H7" s="18">
        <v>0</v>
      </c>
      <c r="I7" s="19">
        <v>38.28</v>
      </c>
    </row>
    <row r="8" spans="1:9" s="20" customFormat="1" ht="17.399999999999999" x14ac:dyDescent="0.3">
      <c r="A8" s="21" t="s">
        <v>16</v>
      </c>
      <c r="B8" s="22" t="s">
        <v>17</v>
      </c>
      <c r="C8" s="22"/>
      <c r="D8" s="22"/>
      <c r="E8" s="21" t="s">
        <v>18</v>
      </c>
      <c r="F8" s="21" t="s">
        <v>19</v>
      </c>
      <c r="G8" s="23">
        <v>24.18</v>
      </c>
      <c r="H8" s="24">
        <v>0</v>
      </c>
      <c r="I8" s="25">
        <v>24.18</v>
      </c>
    </row>
    <row r="9" spans="1:9" s="20" customFormat="1" ht="17.399999999999999" x14ac:dyDescent="0.3">
      <c r="A9" s="21" t="s">
        <v>20</v>
      </c>
      <c r="B9" s="22" t="s">
        <v>21</v>
      </c>
      <c r="C9" s="22"/>
      <c r="D9" s="22"/>
      <c r="E9" s="21"/>
      <c r="F9" s="21" t="s">
        <v>19</v>
      </c>
      <c r="G9" s="23">
        <v>0</v>
      </c>
      <c r="H9" s="24">
        <v>0</v>
      </c>
      <c r="I9" s="25">
        <v>0</v>
      </c>
    </row>
    <row r="10" spans="1:9" s="20" customFormat="1" ht="17.399999999999999" x14ac:dyDescent="0.3">
      <c r="A10" s="21" t="s">
        <v>22</v>
      </c>
      <c r="B10" s="22" t="s">
        <v>23</v>
      </c>
      <c r="C10" s="22"/>
      <c r="D10" s="22"/>
      <c r="E10" s="21" t="s">
        <v>24</v>
      </c>
      <c r="F10" s="21" t="s">
        <v>19</v>
      </c>
      <c r="G10" s="23">
        <v>14.1</v>
      </c>
      <c r="H10" s="24">
        <v>0</v>
      </c>
      <c r="I10" s="25">
        <v>14.1</v>
      </c>
    </row>
    <row r="11" spans="1:9" s="20" customFormat="1" ht="40.049999999999997" customHeight="1" x14ac:dyDescent="0.3">
      <c r="A11" s="16" t="s">
        <v>26</v>
      </c>
      <c r="B11" s="16" t="s">
        <v>27</v>
      </c>
      <c r="C11" s="16" t="s">
        <v>12</v>
      </c>
      <c r="D11" s="16" t="s">
        <v>13</v>
      </c>
      <c r="E11" s="16" t="s">
        <v>14</v>
      </c>
      <c r="F11" s="16" t="s">
        <v>28</v>
      </c>
      <c r="G11" s="17">
        <v>197.92</v>
      </c>
      <c r="H11" s="18">
        <v>0</v>
      </c>
      <c r="I11" s="19">
        <v>197.92</v>
      </c>
    </row>
    <row r="12" spans="1:9" s="20" customFormat="1" ht="17.399999999999999" x14ac:dyDescent="0.3">
      <c r="A12" s="21" t="s">
        <v>16</v>
      </c>
      <c r="B12" s="22" t="s">
        <v>29</v>
      </c>
      <c r="C12" s="22"/>
      <c r="D12" s="22"/>
      <c r="E12" s="21" t="s">
        <v>30</v>
      </c>
      <c r="F12" s="21" t="s">
        <v>19</v>
      </c>
      <c r="G12" s="23">
        <v>146.62</v>
      </c>
      <c r="H12" s="24">
        <v>0</v>
      </c>
      <c r="I12" s="25">
        <v>146.62</v>
      </c>
    </row>
    <row r="13" spans="1:9" s="20" customFormat="1" ht="17.399999999999999" x14ac:dyDescent="0.3">
      <c r="A13" s="21" t="s">
        <v>31</v>
      </c>
      <c r="B13" s="22" t="s">
        <v>32</v>
      </c>
      <c r="C13" s="22"/>
      <c r="D13" s="22"/>
      <c r="E13" s="21" t="s">
        <v>33</v>
      </c>
      <c r="F13" s="21" t="s">
        <v>19</v>
      </c>
      <c r="G13" s="23">
        <v>51.3</v>
      </c>
      <c r="H13" s="24">
        <v>0</v>
      </c>
      <c r="I13" s="25">
        <v>51.3</v>
      </c>
    </row>
    <row r="14" spans="1:9" s="20" customFormat="1" ht="40.049999999999997" customHeight="1" x14ac:dyDescent="0.3">
      <c r="A14" s="16" t="s">
        <v>34</v>
      </c>
      <c r="B14" s="16" t="s">
        <v>35</v>
      </c>
      <c r="C14" s="16" t="s">
        <v>12</v>
      </c>
      <c r="D14" s="16" t="s">
        <v>13</v>
      </c>
      <c r="E14" s="16" t="s">
        <v>36</v>
      </c>
      <c r="F14" s="16" t="s">
        <v>37</v>
      </c>
      <c r="G14" s="17">
        <v>86.66</v>
      </c>
      <c r="H14" s="18">
        <v>0</v>
      </c>
      <c r="I14" s="19">
        <v>86.66</v>
      </c>
    </row>
    <row r="15" spans="1:9" s="20" customFormat="1" ht="17.399999999999999" x14ac:dyDescent="0.3">
      <c r="A15" s="21" t="s">
        <v>38</v>
      </c>
      <c r="B15" s="22" t="s">
        <v>39</v>
      </c>
      <c r="C15" s="22"/>
      <c r="D15" s="22"/>
      <c r="E15" s="21" t="s">
        <v>40</v>
      </c>
      <c r="F15" s="21" t="s">
        <v>37</v>
      </c>
      <c r="G15" s="23">
        <v>82.944000000000003</v>
      </c>
      <c r="H15" s="24">
        <v>0</v>
      </c>
      <c r="I15" s="25">
        <v>82.944000000000003</v>
      </c>
    </row>
    <row r="16" spans="1:9" s="20" customFormat="1" ht="17.399999999999999" x14ac:dyDescent="0.3">
      <c r="A16" s="21" t="s">
        <v>41</v>
      </c>
      <c r="B16" s="22" t="s">
        <v>42</v>
      </c>
      <c r="C16" s="22"/>
      <c r="D16" s="22"/>
      <c r="E16" s="21" t="s">
        <v>43</v>
      </c>
      <c r="F16" s="21" t="s">
        <v>37</v>
      </c>
      <c r="G16" s="23">
        <v>3.72</v>
      </c>
      <c r="H16" s="24">
        <v>0</v>
      </c>
      <c r="I16" s="25">
        <v>3.72</v>
      </c>
    </row>
    <row r="17" spans="1:9" s="20" customFormat="1" ht="40.049999999999997" customHeight="1" x14ac:dyDescent="0.3">
      <c r="A17" s="16" t="s">
        <v>44</v>
      </c>
      <c r="B17" s="16" t="s">
        <v>45</v>
      </c>
      <c r="C17" s="16" t="s">
        <v>46</v>
      </c>
      <c r="D17" s="16" t="s">
        <v>13</v>
      </c>
      <c r="E17" s="16" t="s">
        <v>36</v>
      </c>
      <c r="F17" s="16" t="s">
        <v>68</v>
      </c>
      <c r="G17" s="17">
        <v>235.52</v>
      </c>
      <c r="H17" s="18">
        <v>0</v>
      </c>
      <c r="I17" s="19">
        <v>235.52</v>
      </c>
    </row>
    <row r="18" spans="1:9" s="20" customFormat="1" ht="17.399999999999999" x14ac:dyDescent="0.3">
      <c r="A18" s="21" t="s">
        <v>47</v>
      </c>
      <c r="B18" s="22" t="s">
        <v>48</v>
      </c>
      <c r="C18" s="22"/>
      <c r="D18" s="22"/>
      <c r="E18" s="21" t="s">
        <v>49</v>
      </c>
      <c r="F18" s="21" t="s">
        <v>68</v>
      </c>
      <c r="G18" s="23">
        <v>235.52</v>
      </c>
      <c r="H18" s="24">
        <v>0</v>
      </c>
      <c r="I18" s="25">
        <v>235.52</v>
      </c>
    </row>
    <row r="19" spans="1:9" s="20" customFormat="1" ht="40.049999999999997" customHeight="1" x14ac:dyDescent="0.3">
      <c r="A19" s="16" t="s">
        <v>50</v>
      </c>
      <c r="B19" s="16" t="s">
        <v>51</v>
      </c>
      <c r="C19" s="16" t="s">
        <v>46</v>
      </c>
      <c r="D19" s="16" t="s">
        <v>13</v>
      </c>
      <c r="E19" s="16" t="s">
        <v>52</v>
      </c>
      <c r="F19" s="16" t="s">
        <v>53</v>
      </c>
      <c r="G19" s="17">
        <v>40.880000000000003</v>
      </c>
      <c r="H19" s="18">
        <v>0</v>
      </c>
      <c r="I19" s="19">
        <v>40.880000000000003</v>
      </c>
    </row>
    <row r="20" spans="1:9" s="20" customFormat="1" ht="17.399999999999999" x14ac:dyDescent="0.3">
      <c r="A20" s="21" t="s">
        <v>54</v>
      </c>
      <c r="B20" s="22" t="s">
        <v>55</v>
      </c>
      <c r="C20" s="22"/>
      <c r="D20" s="22"/>
      <c r="E20" s="21" t="s">
        <v>56</v>
      </c>
      <c r="F20" s="21" t="s">
        <v>57</v>
      </c>
      <c r="G20" s="23">
        <v>40.880000000000003</v>
      </c>
      <c r="H20" s="24">
        <v>0</v>
      </c>
      <c r="I20" s="25">
        <v>40.880000000000003</v>
      </c>
    </row>
    <row r="21" spans="1:9" s="20" customFormat="1" ht="40.049999999999997" customHeight="1" x14ac:dyDescent="0.3">
      <c r="A21" s="16" t="s">
        <v>58</v>
      </c>
      <c r="B21" s="16" t="s">
        <v>59</v>
      </c>
      <c r="C21" s="16" t="s">
        <v>60</v>
      </c>
      <c r="D21" s="16" t="s">
        <v>13</v>
      </c>
      <c r="E21" s="16" t="s">
        <v>14</v>
      </c>
      <c r="F21" s="16" t="s">
        <v>61</v>
      </c>
      <c r="G21" s="17">
        <v>27.6</v>
      </c>
      <c r="H21" s="18">
        <v>0</v>
      </c>
      <c r="I21" s="19">
        <v>27.6</v>
      </c>
    </row>
    <row r="22" spans="1:9" s="20" customFormat="1" ht="17.399999999999999" x14ac:dyDescent="0.3">
      <c r="A22" s="21" t="s">
        <v>62</v>
      </c>
      <c r="B22" s="22" t="s">
        <v>63</v>
      </c>
      <c r="C22" s="22"/>
      <c r="D22" s="22"/>
      <c r="E22" s="21" t="s">
        <v>64</v>
      </c>
      <c r="F22" s="21" t="s">
        <v>65</v>
      </c>
      <c r="G22" s="23">
        <v>27.6</v>
      </c>
      <c r="H22" s="24">
        <v>0</v>
      </c>
      <c r="I22" s="25">
        <v>27.6</v>
      </c>
    </row>
    <row r="23" spans="1:9" s="20" customFormat="1" ht="40.049999999999997" customHeight="1" x14ac:dyDescent="0.3">
      <c r="A23" s="16" t="s">
        <v>66</v>
      </c>
      <c r="B23" s="16" t="s">
        <v>67</v>
      </c>
      <c r="C23" s="16" t="s">
        <v>60</v>
      </c>
      <c r="D23" s="16" t="s">
        <v>13</v>
      </c>
      <c r="E23" s="16" t="s">
        <v>14</v>
      </c>
      <c r="F23" s="16" t="s">
        <v>68</v>
      </c>
      <c r="G23" s="17">
        <v>36.86</v>
      </c>
      <c r="H23" s="18">
        <v>0</v>
      </c>
      <c r="I23" s="19">
        <v>36.86</v>
      </c>
    </row>
    <row r="24" spans="1:9" s="20" customFormat="1" ht="17.399999999999999" x14ac:dyDescent="0.3">
      <c r="A24" s="21" t="s">
        <v>69</v>
      </c>
      <c r="B24" s="22" t="s">
        <v>70</v>
      </c>
      <c r="C24" s="22"/>
      <c r="D24" s="22"/>
      <c r="E24" s="21" t="s">
        <v>71</v>
      </c>
      <c r="F24" s="21" t="s">
        <v>68</v>
      </c>
      <c r="G24" s="23">
        <v>36.86</v>
      </c>
      <c r="H24" s="24">
        <v>0</v>
      </c>
      <c r="I24" s="25">
        <v>36.86</v>
      </c>
    </row>
    <row r="25" spans="1:9" s="20" customFormat="1" ht="40.049999999999997" customHeight="1" x14ac:dyDescent="0.3">
      <c r="A25" s="16" t="s">
        <v>72</v>
      </c>
      <c r="B25" s="16" t="s">
        <v>73</v>
      </c>
      <c r="C25" s="16" t="s">
        <v>12</v>
      </c>
      <c r="D25" s="16" t="s">
        <v>13</v>
      </c>
      <c r="E25" s="16" t="s">
        <v>14</v>
      </c>
      <c r="F25" s="16" t="s">
        <v>68</v>
      </c>
      <c r="G25" s="17">
        <v>133.33000000000001</v>
      </c>
      <c r="H25" s="18">
        <v>0</v>
      </c>
      <c r="I25" s="19">
        <v>133.33000000000001</v>
      </c>
    </row>
    <row r="26" spans="1:9" s="20" customFormat="1" ht="17.399999999999999" x14ac:dyDescent="0.3">
      <c r="A26" s="21" t="s">
        <v>74</v>
      </c>
      <c r="B26" s="22" t="s">
        <v>75</v>
      </c>
      <c r="C26" s="22"/>
      <c r="D26" s="22"/>
      <c r="E26" s="21" t="s">
        <v>76</v>
      </c>
      <c r="F26" s="21" t="s">
        <v>68</v>
      </c>
      <c r="G26" s="23">
        <v>133.33000000000001</v>
      </c>
      <c r="H26" s="24">
        <v>0</v>
      </c>
      <c r="I26" s="25">
        <v>133.33000000000001</v>
      </c>
    </row>
    <row r="27" spans="1:9" s="20" customFormat="1" ht="17.399999999999999" x14ac:dyDescent="0.3">
      <c r="A27" s="16" t="s">
        <v>81</v>
      </c>
      <c r="B27" s="16" t="s">
        <v>79</v>
      </c>
      <c r="C27" s="16" t="s">
        <v>80</v>
      </c>
      <c r="D27" s="16" t="s">
        <v>13</v>
      </c>
      <c r="E27" s="16" t="s">
        <v>14</v>
      </c>
      <c r="F27" s="16" t="s">
        <v>68</v>
      </c>
      <c r="G27" s="17">
        <v>250</v>
      </c>
      <c r="H27" s="18">
        <v>0</v>
      </c>
      <c r="I27" s="19">
        <v>250</v>
      </c>
    </row>
    <row r="28" spans="1:9" ht="40.049999999999997" customHeight="1" thickBot="1" x14ac:dyDescent="0.35">
      <c r="A28" s="7" t="s">
        <v>77</v>
      </c>
      <c r="B28" s="7"/>
      <c r="C28" s="7"/>
      <c r="D28" s="7"/>
      <c r="E28" s="7"/>
      <c r="F28" s="7"/>
      <c r="G28" s="2">
        <f>+G3+G7+G11+G14+G17+G19+G21+G23+G25+G27</f>
        <v>1085.33</v>
      </c>
      <c r="H28" s="3">
        <v>0</v>
      </c>
      <c r="I28" s="2">
        <f>+I3+I7+I11+I14+I17+I19+I21+I23+I25+I27</f>
        <v>1085.33</v>
      </c>
    </row>
    <row r="29" spans="1:9" ht="40.049999999999997" customHeight="1" thickBot="1" x14ac:dyDescent="0.35">
      <c r="A29" s="8" t="s">
        <v>77</v>
      </c>
      <c r="B29" s="8"/>
      <c r="C29" s="8"/>
      <c r="D29" s="8"/>
      <c r="E29" s="8"/>
      <c r="F29" s="8"/>
      <c r="G29" s="4">
        <f>+G28</f>
        <v>1085.33</v>
      </c>
      <c r="H29" s="5">
        <v>0</v>
      </c>
      <c r="I29" s="6">
        <f>+I28</f>
        <v>1085.33</v>
      </c>
    </row>
    <row r="30" spans="1:9" ht="17.399999999999999" x14ac:dyDescent="0.3">
      <c r="A30" s="9" t="s">
        <v>78</v>
      </c>
      <c r="B30" s="9"/>
      <c r="C30" s="9"/>
      <c r="D30" s="9"/>
      <c r="E30" s="9"/>
      <c r="F30" s="9"/>
      <c r="G30" s="9"/>
      <c r="H30" s="9"/>
      <c r="I30" s="9"/>
    </row>
    <row r="42" spans="5:5" x14ac:dyDescent="0.3">
      <c r="E42">
        <v>1</v>
      </c>
    </row>
  </sheetData>
  <mergeCells count="19">
    <mergeCell ref="A1:I1"/>
    <mergeCell ref="B4:D4"/>
    <mergeCell ref="B5:D5"/>
    <mergeCell ref="B6:D6"/>
    <mergeCell ref="B8:D8"/>
    <mergeCell ref="B9:D9"/>
    <mergeCell ref="B10:D10"/>
    <mergeCell ref="B12:D12"/>
    <mergeCell ref="B13:D13"/>
    <mergeCell ref="B15:D15"/>
    <mergeCell ref="B26:D26"/>
    <mergeCell ref="A28:F28"/>
    <mergeCell ref="A29:F29"/>
    <mergeCell ref="A30:I30"/>
    <mergeCell ref="B16:D16"/>
    <mergeCell ref="B18:D18"/>
    <mergeCell ref="B20:D20"/>
    <mergeCell ref="B22:D22"/>
    <mergeCell ref="B24:D2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Calculator (Detailed) Dec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2025-12-01T15:40:17Z</dcterms:created>
  <dcterms:modified xsi:type="dcterms:W3CDTF">2026-01-05T23:25:43Z</dcterms:modified>
  <cp:category/>
</cp:coreProperties>
</file>