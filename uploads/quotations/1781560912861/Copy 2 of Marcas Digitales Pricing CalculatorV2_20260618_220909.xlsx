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84423900\Documents\Migrations\MARCAS DIGITALES - FUDGO\"/>
    </mc:Choice>
  </mc:AlternateContent>
  <xr:revisionPtr revIDLastSave="0" documentId="8_{064EF33F-479D-4601-B049-C70C201B5BDD}" xr6:coauthVersionLast="47" xr6:coauthVersionMax="47" xr10:uidLastSave="{00000000-0000-0000-0000-000000000000}"/>
  <bookViews>
    <workbookView xWindow="-108" yWindow="-108" windowWidth="23256" windowHeight="14856" xr2:uid="{34C2F572-D67D-4E17-8CEC-3A235DDC66A0}"/>
  </bookViews>
  <sheets>
    <sheet name="Price Calculator (Simplifie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3" i="1" l="1"/>
  <c r="N33" i="1" s="1"/>
  <c r="J29" i="1"/>
  <c r="L29" i="1" s="1"/>
  <c r="L27" i="1"/>
  <c r="N27" i="1" s="1"/>
  <c r="J23" i="1"/>
  <c r="L23" i="1" s="1"/>
  <c r="N21" i="1"/>
  <c r="L21" i="1"/>
  <c r="K21" i="1"/>
  <c r="N15" i="1"/>
  <c r="L15" i="1"/>
  <c r="K15" i="1"/>
  <c r="J15" i="1"/>
  <c r="J8" i="1"/>
  <c r="N8" i="1" s="1"/>
  <c r="K23" i="1" l="1"/>
  <c r="N23" i="1"/>
  <c r="N34" i="1" s="1"/>
  <c r="N35" i="1" s="1"/>
  <c r="K29" i="1"/>
  <c r="N29" i="1" s="1"/>
  <c r="J34" i="1"/>
  <c r="K8" i="1"/>
  <c r="K34" i="1" s="1"/>
  <c r="L8" i="1"/>
  <c r="L34" i="1" s="1"/>
</calcChain>
</file>

<file path=xl/sharedStrings.xml><?xml version="1.0" encoding="utf-8"?>
<sst xmlns="http://schemas.openxmlformats.org/spreadsheetml/2006/main" count="224" uniqueCount="104">
  <si>
    <t>Price Calculator Jun 4, 2026 14:19:55</t>
  </si>
  <si>
    <t>Service</t>
  </si>
  <si>
    <t>Description</t>
  </si>
  <si>
    <t>Region</t>
  </si>
  <si>
    <t>AZ</t>
  </si>
  <si>
    <t>Billing Mode</t>
  </si>
  <si>
    <t>Purchase Amount</t>
  </si>
  <si>
    <t>Unit</t>
  </si>
  <si>
    <t>Quantity</t>
  </si>
  <si>
    <t>Specifications</t>
  </si>
  <si>
    <t>Unit Price (USD)</t>
  </si>
  <si>
    <t>Discounted Unit Price (USD)</t>
  </si>
  <si>
    <t>Original Price (USD)</t>
  </si>
  <si>
    <t>Discount Amount (USD)</t>
  </si>
  <si>
    <t>Discounted Price (USD)</t>
  </si>
  <si>
    <t>Elastic Cloud Server 1</t>
  </si>
  <si>
    <t>Frontend Usuarios Dev</t>
  </si>
  <si>
    <t>LA-Mexico City2</t>
  </si>
  <si>
    <t xml:space="preserve">General AZ </t>
  </si>
  <si>
    <t xml:space="preserve"> RI</t>
  </si>
  <si>
    <t xml:space="preserve">CentOS | CentOS 8.2 64bit; x86 | General computing-plus | x1e.2u.4g | 2 vCPUs | 4GiB | No Upfront | 1 Year; General Purpose SSD | 50GB; </t>
  </si>
  <si>
    <t>Elastic Cloud Server 2</t>
  </si>
  <si>
    <t>Backend Dev</t>
  </si>
  <si>
    <t>Elastic Cloud Server 3</t>
  </si>
  <si>
    <t>Workers/Jobs Dev</t>
  </si>
  <si>
    <t>Relational Database Service 1</t>
  </si>
  <si>
    <t>PostgreSQL RDS Dev</t>
  </si>
  <si>
    <t>Pay-per-use</t>
  </si>
  <si>
    <t>hours</t>
  </si>
  <si>
    <t xml:space="preserve">General AZ | PostgreSQL | 17 | Single | General-purpose | 2vCPUs, 4GB ; Cloud SSD | 40GB; </t>
  </si>
  <si>
    <t>DCS (for Redis) 1</t>
  </si>
  <si>
    <t>DCS (for Redis) Dev</t>
  </si>
  <si>
    <t xml:space="preserve">Basic | 7.0 | Single-node | X86 | DRAM | 4 GB | Quantity：1; 1Mbit/s; </t>
  </si>
  <si>
    <t>Object Storage Service 1</t>
  </si>
  <si>
    <t>Object Storage Service Dev</t>
  </si>
  <si>
    <t>Monthly</t>
  </si>
  <si>
    <t>month</t>
  </si>
  <si>
    <t xml:space="preserve">100GB; </t>
  </si>
  <si>
    <t>Elastic IP 1</t>
  </si>
  <si>
    <t>Elastic IP</t>
  </si>
  <si>
    <t xml:space="preserve">Dedicated | Dynamic BGP | Traffic | 2TB; 1 ; </t>
  </si>
  <si>
    <t>Elastic Cloud Server 4</t>
  </si>
  <si>
    <t>Frontend Usuarios QA</t>
  </si>
  <si>
    <t xml:space="preserve">CentOS | CentOS 8.2 64bit; x86 | General computing-plus | x1e.4u.8g | 4 vCPUs | 8GiB | No Upfront | 1 Year; General Purpose SSD | 50GB; </t>
  </si>
  <si>
    <t>Elastic Cloud Server 5</t>
  </si>
  <si>
    <t>Backend QA</t>
  </si>
  <si>
    <t>Elastic Cloud Server 6</t>
  </si>
  <si>
    <t>Workers/Jobs QA</t>
  </si>
  <si>
    <t>Relational Database Service 2</t>
  </si>
  <si>
    <t>PostgreSQL RDS QA</t>
  </si>
  <si>
    <t xml:space="preserve">General AZ | PostgreSQL | 17 | Single | General-purpose | 4vCPUs, 8GB ; Cloud SSD | 100GB; </t>
  </si>
  <si>
    <t>DCS (for Redis) 2</t>
  </si>
  <si>
    <t>DCS (for Redis) QA</t>
  </si>
  <si>
    <t>Object Storage Service 2</t>
  </si>
  <si>
    <t>Object Storage Service QA</t>
  </si>
  <si>
    <t>Elastic Load Balance 1</t>
  </si>
  <si>
    <t>Elastic Load Balance QA</t>
  </si>
  <si>
    <t xml:space="preserve">General AZ | 10 LCU; </t>
  </si>
  <si>
    <t>Elastic Cloud Server 7</t>
  </si>
  <si>
    <t>Frontend Usuarios PRD</t>
  </si>
  <si>
    <t xml:space="preserve">CentOS | CentOS 8.2 64bit; x86 | General computing-plus | x1e.8u.16g | 8 vCPUs | 16GiB | No Upfront | 1 Year; General Purpose SSD | 50GB; </t>
  </si>
  <si>
    <t>Elastic Cloud Server 8</t>
  </si>
  <si>
    <t>Backend PRD</t>
  </si>
  <si>
    <t>Elastic Cloud Server 9</t>
  </si>
  <si>
    <t>Workers/Jobs PRD</t>
  </si>
  <si>
    <t>Relational Database Service 3</t>
  </si>
  <si>
    <t>PostgreSQL RDS PRD</t>
  </si>
  <si>
    <t>General AZ | PostgreSQL | 17 | Primary/Standby | General-purpose | 8vCPUs, 16GB</t>
  </si>
  <si>
    <t>DCS (for Redis) 3</t>
  </si>
  <si>
    <t>DCS (for Redis) PRD</t>
  </si>
  <si>
    <t xml:space="preserve">Basic | 7.0 | Single-node | X86 | DRAM | 8 GB | Quantity：1; 1Mbit/s; </t>
  </si>
  <si>
    <t>Object Storage Service PRD</t>
  </si>
  <si>
    <t>Elastic Load Balance 2</t>
  </si>
  <si>
    <t>Elastic Load Balance PRD</t>
  </si>
  <si>
    <t xml:space="preserve">General AZ | 20 LCU; </t>
  </si>
  <si>
    <t>Cloud Backup and Recovery 1</t>
  </si>
  <si>
    <t>Cloud Backup and Recovery</t>
  </si>
  <si>
    <t xml:space="preserve">Server backup vault | 1000GB; </t>
  </si>
  <si>
    <t>Host Security Service 1</t>
  </si>
  <si>
    <t>Host Security Service</t>
  </si>
  <si>
    <t xml:space="preserve">Premium; </t>
  </si>
  <si>
    <t>Web Application Firewall 1</t>
  </si>
  <si>
    <t>Web Application Firewall</t>
  </si>
  <si>
    <t xml:space="preserve">5amounts; 50amounts; 50Million times; </t>
  </si>
  <si>
    <t>CodeArts 1</t>
  </si>
  <si>
    <t>CodeArts</t>
  </si>
  <si>
    <t xml:space="preserve">Package | CodeArts Package | CodeArts Basic | 50; </t>
  </si>
  <si>
    <t>Log Tank Service 1</t>
  </si>
  <si>
    <t>Log Tank Service</t>
  </si>
  <si>
    <t xml:space="preserve">59.51 GB; 299.51 GB; 299.51 GB; 300.00 GB; 300.00 GB; </t>
  </si>
  <si>
    <t>FunctionGraph 1</t>
  </si>
  <si>
    <t>FunctionGraph</t>
  </si>
  <si>
    <t xml:space="preserve">20; 527343.75; </t>
  </si>
  <si>
    <t>Support Plans 1</t>
  </si>
  <si>
    <t>Support Plans</t>
  </si>
  <si>
    <t>Yearly</t>
  </si>
  <si>
    <t>Year</t>
  </si>
  <si>
    <t xml:space="preserve">Developer | 0USD/month; </t>
  </si>
  <si>
    <t>Content Delivery Network 1</t>
  </si>
  <si>
    <t>Content Delivery Network</t>
  </si>
  <si>
    <t>Global</t>
  </si>
  <si>
    <t xml:space="preserve">International | 2 TB; </t>
  </si>
  <si>
    <t>Total Price</t>
  </si>
  <si>
    <t>The preceding price is for reference only and may vary from the final price in your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</si>
</sst>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###"/>
  </numFmts>
  <fonts count="6">
    <font>
      <sz val="11"/>
      <color theme="1"/>
      <name val="Calibri"/>
      <family val="2"/>
      <scheme val="minor"/>
    </font>
    <font>
      <sz val="14"/>
      <color rgb="FFFFFFF0"/>
      <name val="微软雅黑"/>
    </font>
    <font>
      <sz val="12"/>
      <name val="微软雅黑"/>
    </font>
    <font>
      <sz val="12"/>
      <color rgb="FF00CD00"/>
      <name val="微软雅黑"/>
    </font>
    <font>
      <sz val="12"/>
      <color rgb="FFCD2626"/>
      <name val="微软雅黑"/>
    </font>
    <font>
      <sz val="12"/>
      <color rgb="FF8F8F8F"/>
      <name val="微软雅黑"/>
    </font>
  </fonts>
  <fills count="8">
    <fill>
      <patternFill patternType="none"/>
    </fill>
    <fill>
      <patternFill patternType="gray125"/>
    </fill>
    <fill>
      <patternFill patternType="solid">
        <fgColor rgb="FF1874CD"/>
      </patternFill>
    </fill>
    <fill>
      <patternFill patternType="solid">
        <fgColor rgb="FFDBDBDB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5F5F5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rgb="FFFFFFFF"/>
      </left>
      <right style="thin">
        <color rgb="FFFFFFFF"/>
      </right>
      <top style="thin">
        <color theme="0" tint="-0.249977111117893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0" xfId="0" applyFont="1"/>
    <xf numFmtId="0" fontId="2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164" fontId="2" fillId="4" borderId="0" xfId="0" applyNumberFormat="1" applyFont="1" applyFill="1" applyAlignment="1">
      <alignment horizontal="right" vertical="center" wrapText="1"/>
    </xf>
    <xf numFmtId="164" fontId="3" fillId="4" borderId="0" xfId="0" applyNumberFormat="1" applyFont="1" applyFill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164" fontId="2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164" fontId="2" fillId="4" borderId="4" xfId="0" applyNumberFormat="1" applyFont="1" applyFill="1" applyBorder="1" applyAlignment="1">
      <alignment horizontal="right" vertical="center" wrapText="1"/>
    </xf>
    <xf numFmtId="164" fontId="3" fillId="4" borderId="4" xfId="0" applyNumberFormat="1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6" borderId="6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164" fontId="3" fillId="0" borderId="4" xfId="0" applyNumberFormat="1" applyFont="1" applyBorder="1" applyAlignment="1">
      <alignment horizontal="righ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7" borderId="7" xfId="0" applyFont="1" applyFill="1" applyBorder="1" applyAlignment="1">
      <alignment horizontal="left" vertical="center" wrapText="1"/>
    </xf>
    <xf numFmtId="164" fontId="2" fillId="7" borderId="7" xfId="0" applyNumberFormat="1" applyFont="1" applyFill="1" applyBorder="1" applyAlignment="1">
      <alignment horizontal="right" vertical="center" wrapText="1"/>
    </xf>
    <xf numFmtId="164" fontId="3" fillId="7" borderId="7" xfId="0" applyNumberFormat="1" applyFont="1" applyFill="1" applyBorder="1" applyAlignment="1">
      <alignment horizontal="right" vertical="center" wrapText="1"/>
    </xf>
    <xf numFmtId="164" fontId="4" fillId="7" borderId="8" xfId="0" applyNumberFormat="1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horizontal="left" vertical="center" wrapText="1"/>
    </xf>
    <xf numFmtId="164" fontId="2" fillId="3" borderId="7" xfId="0" applyNumberFormat="1" applyFont="1" applyFill="1" applyBorder="1" applyAlignment="1">
      <alignment horizontal="right" vertical="center" wrapText="1"/>
    </xf>
    <xf numFmtId="164" fontId="3" fillId="3" borderId="7" xfId="0" applyNumberFormat="1" applyFont="1" applyFill="1" applyBorder="1" applyAlignment="1">
      <alignment horizontal="right" vertical="center" wrapText="1"/>
    </xf>
    <xf numFmtId="164" fontId="4" fillId="3" borderId="8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47C7-BE28-47D7-8628-13227639E9AD}">
  <dimension ref="A1:N36"/>
  <sheetViews>
    <sheetView tabSelected="1" zoomScale="45" zoomScaleNormal="75" workbookViewId="0">
      <selection activeCell="A2" sqref="A2:N34"/>
    </sheetView>
  </sheetViews>
  <sheetFormatPr defaultRowHeight="14.4"/>
  <cols>
    <col min="1" max="2" width="30" customWidth="1"/>
    <col min="3" max="3" width="20" customWidth="1"/>
    <col min="4" max="6" width="22" customWidth="1"/>
    <col min="7" max="8" width="20" customWidth="1"/>
    <col min="9" max="9" width="50" customWidth="1"/>
    <col min="10" max="10" width="20" customWidth="1"/>
    <col min="11" max="14" width="22" customWidth="1"/>
  </cols>
  <sheetData>
    <row r="1" spans="1:14" s="2" customFormat="1" ht="49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s="6" customFormat="1" ht="49.9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5" t="s">
        <v>14</v>
      </c>
    </row>
    <row r="3" spans="1:14" ht="100.05" customHeight="1">
      <c r="A3" s="7" t="s">
        <v>15</v>
      </c>
      <c r="B3" s="8" t="s">
        <v>16</v>
      </c>
      <c r="C3" s="7" t="s">
        <v>17</v>
      </c>
      <c r="D3" s="7" t="s">
        <v>18</v>
      </c>
      <c r="E3" s="7" t="s">
        <v>19</v>
      </c>
      <c r="F3" s="7">
        <v>1</v>
      </c>
      <c r="G3" s="7"/>
      <c r="H3" s="7">
        <v>1</v>
      </c>
      <c r="I3" s="7" t="s">
        <v>20</v>
      </c>
      <c r="J3" s="9">
        <v>393.3</v>
      </c>
      <c r="K3" s="9">
        <v>393.3</v>
      </c>
      <c r="L3" s="9">
        <v>393.3</v>
      </c>
      <c r="M3" s="10">
        <v>0</v>
      </c>
      <c r="N3" s="11">
        <v>393.3</v>
      </c>
    </row>
    <row r="4" spans="1:14" ht="100.05" customHeight="1">
      <c r="A4" s="7" t="s">
        <v>21</v>
      </c>
      <c r="B4" s="8" t="s">
        <v>22</v>
      </c>
      <c r="C4" s="7" t="s">
        <v>17</v>
      </c>
      <c r="D4" s="7" t="s">
        <v>18</v>
      </c>
      <c r="E4" s="7" t="s">
        <v>19</v>
      </c>
      <c r="F4" s="7">
        <v>1</v>
      </c>
      <c r="G4" s="7"/>
      <c r="H4" s="7">
        <v>1</v>
      </c>
      <c r="I4" s="7" t="s">
        <v>20</v>
      </c>
      <c r="J4" s="9">
        <v>393.3</v>
      </c>
      <c r="K4" s="9">
        <v>393.3</v>
      </c>
      <c r="L4" s="9">
        <v>393.3</v>
      </c>
      <c r="M4" s="10">
        <v>0</v>
      </c>
      <c r="N4" s="11">
        <v>393.3</v>
      </c>
    </row>
    <row r="5" spans="1:14" ht="100.05" customHeight="1">
      <c r="A5" s="7" t="s">
        <v>23</v>
      </c>
      <c r="B5" s="8" t="s">
        <v>24</v>
      </c>
      <c r="C5" s="7" t="s">
        <v>17</v>
      </c>
      <c r="D5" s="7" t="s">
        <v>18</v>
      </c>
      <c r="E5" s="7" t="s">
        <v>19</v>
      </c>
      <c r="F5" s="7">
        <v>1</v>
      </c>
      <c r="G5" s="7"/>
      <c r="H5" s="7">
        <v>1</v>
      </c>
      <c r="I5" s="7" t="s">
        <v>20</v>
      </c>
      <c r="J5" s="9">
        <v>393.3</v>
      </c>
      <c r="K5" s="9">
        <v>393.3</v>
      </c>
      <c r="L5" s="9">
        <v>393.3</v>
      </c>
      <c r="M5" s="10">
        <v>0</v>
      </c>
      <c r="N5" s="11">
        <v>393.3</v>
      </c>
    </row>
    <row r="6" spans="1:14" ht="100.05" customHeight="1">
      <c r="A6" s="7" t="s">
        <v>25</v>
      </c>
      <c r="B6" s="8" t="s">
        <v>26</v>
      </c>
      <c r="C6" s="7" t="s">
        <v>17</v>
      </c>
      <c r="D6" s="7" t="s">
        <v>18</v>
      </c>
      <c r="E6" s="7" t="s">
        <v>27</v>
      </c>
      <c r="F6" s="7">
        <v>8760</v>
      </c>
      <c r="G6" s="7" t="s">
        <v>28</v>
      </c>
      <c r="H6" s="7">
        <v>1</v>
      </c>
      <c r="I6" s="7" t="s">
        <v>29</v>
      </c>
      <c r="J6" s="9">
        <v>653.5</v>
      </c>
      <c r="K6" s="9">
        <v>653.5</v>
      </c>
      <c r="L6" s="9">
        <v>653.5</v>
      </c>
      <c r="M6" s="10">
        <v>0</v>
      </c>
      <c r="N6" s="11">
        <v>653.5</v>
      </c>
    </row>
    <row r="7" spans="1:14" ht="100.05" customHeight="1">
      <c r="A7" s="7" t="s">
        <v>30</v>
      </c>
      <c r="B7" s="8" t="s">
        <v>31</v>
      </c>
      <c r="C7" s="7" t="s">
        <v>17</v>
      </c>
      <c r="D7" s="7" t="s">
        <v>18</v>
      </c>
      <c r="E7" s="7" t="s">
        <v>27</v>
      </c>
      <c r="F7" s="7">
        <v>8760</v>
      </c>
      <c r="G7" s="7" t="s">
        <v>28</v>
      </c>
      <c r="H7" s="7">
        <v>1</v>
      </c>
      <c r="I7" s="7" t="s">
        <v>32</v>
      </c>
      <c r="J7" s="9">
        <v>598.57000000000005</v>
      </c>
      <c r="K7" s="9">
        <v>598.57000000000005</v>
      </c>
      <c r="L7" s="9">
        <v>598.57000000000005</v>
      </c>
      <c r="M7" s="10">
        <v>0</v>
      </c>
      <c r="N7" s="11">
        <v>598.57000000000005</v>
      </c>
    </row>
    <row r="8" spans="1:14" ht="100.05" customHeight="1">
      <c r="A8" s="7" t="s">
        <v>33</v>
      </c>
      <c r="B8" s="8" t="s">
        <v>34</v>
      </c>
      <c r="C8" s="7" t="s">
        <v>17</v>
      </c>
      <c r="D8" s="7" t="s">
        <v>18</v>
      </c>
      <c r="E8" s="7" t="s">
        <v>35</v>
      </c>
      <c r="F8" s="7">
        <v>12</v>
      </c>
      <c r="G8" s="7" t="s">
        <v>36</v>
      </c>
      <c r="H8" s="7">
        <v>1</v>
      </c>
      <c r="I8" s="7" t="s">
        <v>37</v>
      </c>
      <c r="J8" s="9">
        <f>1.89*F8</f>
        <v>22.68</v>
      </c>
      <c r="K8" s="9">
        <f>J8</f>
        <v>22.68</v>
      </c>
      <c r="L8" s="9">
        <f>J8</f>
        <v>22.68</v>
      </c>
      <c r="M8" s="10">
        <v>0</v>
      </c>
      <c r="N8" s="11">
        <f>J8</f>
        <v>22.68</v>
      </c>
    </row>
    <row r="9" spans="1:14" ht="100.05" customHeight="1">
      <c r="A9" s="7" t="s">
        <v>38</v>
      </c>
      <c r="B9" s="8" t="s">
        <v>39</v>
      </c>
      <c r="C9" s="7" t="s">
        <v>17</v>
      </c>
      <c r="D9" s="7" t="s">
        <v>18</v>
      </c>
      <c r="E9" s="7" t="s">
        <v>27</v>
      </c>
      <c r="F9" s="7">
        <v>8760</v>
      </c>
      <c r="G9" s="7" t="s">
        <v>28</v>
      </c>
      <c r="H9" s="7">
        <v>1</v>
      </c>
      <c r="I9" s="7" t="s">
        <v>40</v>
      </c>
      <c r="J9" s="9">
        <v>209.69</v>
      </c>
      <c r="K9" s="9">
        <v>209.69</v>
      </c>
      <c r="L9" s="9">
        <v>209.69</v>
      </c>
      <c r="M9" s="10">
        <v>0</v>
      </c>
      <c r="N9" s="11">
        <v>209.69</v>
      </c>
    </row>
    <row r="10" spans="1:14" ht="100.05" customHeight="1">
      <c r="A10" s="7" t="s">
        <v>41</v>
      </c>
      <c r="B10" s="12" t="s">
        <v>42</v>
      </c>
      <c r="C10" s="12" t="s">
        <v>17</v>
      </c>
      <c r="D10" s="12" t="s">
        <v>18</v>
      </c>
      <c r="E10" s="12" t="s">
        <v>19</v>
      </c>
      <c r="F10" s="12">
        <v>1</v>
      </c>
      <c r="G10" s="12"/>
      <c r="H10" s="12">
        <v>1</v>
      </c>
      <c r="I10" s="12" t="s">
        <v>43</v>
      </c>
      <c r="J10" s="13">
        <v>729.66</v>
      </c>
      <c r="K10" s="13">
        <v>729.66</v>
      </c>
      <c r="L10" s="13">
        <v>729.66</v>
      </c>
      <c r="M10" s="14">
        <v>0</v>
      </c>
      <c r="N10" s="15">
        <v>729.66</v>
      </c>
    </row>
    <row r="11" spans="1:14" ht="100.05" customHeight="1">
      <c r="A11" s="7" t="s">
        <v>44</v>
      </c>
      <c r="B11" s="12" t="s">
        <v>45</v>
      </c>
      <c r="C11" s="12" t="s">
        <v>17</v>
      </c>
      <c r="D11" s="12" t="s">
        <v>18</v>
      </c>
      <c r="E11" s="12" t="s">
        <v>19</v>
      </c>
      <c r="F11" s="12">
        <v>1</v>
      </c>
      <c r="G11" s="12"/>
      <c r="H11" s="12">
        <v>1</v>
      </c>
      <c r="I11" s="12" t="s">
        <v>43</v>
      </c>
      <c r="J11" s="13">
        <v>729.66</v>
      </c>
      <c r="K11" s="13">
        <v>729.66</v>
      </c>
      <c r="L11" s="13">
        <v>729.66</v>
      </c>
      <c r="M11" s="14">
        <v>0</v>
      </c>
      <c r="N11" s="15">
        <v>729.66</v>
      </c>
    </row>
    <row r="12" spans="1:14" ht="100.05" customHeight="1">
      <c r="A12" s="7" t="s">
        <v>46</v>
      </c>
      <c r="B12" s="12" t="s">
        <v>47</v>
      </c>
      <c r="C12" s="12" t="s">
        <v>17</v>
      </c>
      <c r="D12" s="12" t="s">
        <v>18</v>
      </c>
      <c r="E12" s="12" t="s">
        <v>19</v>
      </c>
      <c r="F12" s="12">
        <v>1</v>
      </c>
      <c r="G12" s="12"/>
      <c r="H12" s="12">
        <v>1</v>
      </c>
      <c r="I12" s="12" t="s">
        <v>43</v>
      </c>
      <c r="J12" s="13">
        <v>729.66</v>
      </c>
      <c r="K12" s="13">
        <v>729.66</v>
      </c>
      <c r="L12" s="13">
        <v>729.66</v>
      </c>
      <c r="M12" s="14">
        <v>0</v>
      </c>
      <c r="N12" s="15">
        <v>729.66</v>
      </c>
    </row>
    <row r="13" spans="1:14" ht="100.05" customHeight="1">
      <c r="A13" s="7" t="s">
        <v>48</v>
      </c>
      <c r="B13" s="12" t="s">
        <v>49</v>
      </c>
      <c r="C13" s="12" t="s">
        <v>17</v>
      </c>
      <c r="D13" s="12" t="s">
        <v>18</v>
      </c>
      <c r="E13" s="12" t="s">
        <v>27</v>
      </c>
      <c r="F13" s="12">
        <v>8760</v>
      </c>
      <c r="G13" s="12" t="s">
        <v>28</v>
      </c>
      <c r="H13" s="12">
        <v>1</v>
      </c>
      <c r="I13" s="12" t="s">
        <v>50</v>
      </c>
      <c r="J13" s="13">
        <v>1699.44</v>
      </c>
      <c r="K13" s="13">
        <v>1699.44</v>
      </c>
      <c r="L13" s="13">
        <v>1699.44</v>
      </c>
      <c r="M13" s="14">
        <v>0</v>
      </c>
      <c r="N13" s="15">
        <v>1699.44</v>
      </c>
    </row>
    <row r="14" spans="1:14" ht="100.05" customHeight="1">
      <c r="A14" s="7" t="s">
        <v>51</v>
      </c>
      <c r="B14" s="12" t="s">
        <v>52</v>
      </c>
      <c r="C14" s="12" t="s">
        <v>17</v>
      </c>
      <c r="D14" s="12" t="s">
        <v>18</v>
      </c>
      <c r="E14" s="12" t="s">
        <v>27</v>
      </c>
      <c r="F14" s="12">
        <v>8760</v>
      </c>
      <c r="G14" s="12" t="s">
        <v>28</v>
      </c>
      <c r="H14" s="12">
        <v>1</v>
      </c>
      <c r="I14" s="12" t="s">
        <v>32</v>
      </c>
      <c r="J14" s="13">
        <v>598.57000000000005</v>
      </c>
      <c r="K14" s="13">
        <v>598.57000000000005</v>
      </c>
      <c r="L14" s="13">
        <v>598.57000000000005</v>
      </c>
      <c r="M14" s="14">
        <v>0</v>
      </c>
      <c r="N14" s="15">
        <v>598.57000000000005</v>
      </c>
    </row>
    <row r="15" spans="1:14" ht="100.05" customHeight="1">
      <c r="A15" s="7" t="s">
        <v>53</v>
      </c>
      <c r="B15" s="12" t="s">
        <v>54</v>
      </c>
      <c r="C15" s="12" t="s">
        <v>17</v>
      </c>
      <c r="D15" s="12" t="s">
        <v>18</v>
      </c>
      <c r="E15" s="12" t="s">
        <v>35</v>
      </c>
      <c r="F15" s="12">
        <v>12</v>
      </c>
      <c r="G15" s="12" t="s">
        <v>36</v>
      </c>
      <c r="H15" s="12">
        <v>1</v>
      </c>
      <c r="I15" s="12" t="s">
        <v>37</v>
      </c>
      <c r="J15" s="13">
        <f>1.89*F15</f>
        <v>22.68</v>
      </c>
      <c r="K15" s="13">
        <f>J15</f>
        <v>22.68</v>
      </c>
      <c r="L15" s="13">
        <f>J15</f>
        <v>22.68</v>
      </c>
      <c r="M15" s="14">
        <v>0</v>
      </c>
      <c r="N15" s="15">
        <f>J15</f>
        <v>22.68</v>
      </c>
    </row>
    <row r="16" spans="1:14" ht="100.05" customHeight="1">
      <c r="A16" s="16" t="s">
        <v>38</v>
      </c>
      <c r="B16" s="17" t="s">
        <v>39</v>
      </c>
      <c r="C16" s="17" t="s">
        <v>17</v>
      </c>
      <c r="D16" s="17" t="s">
        <v>18</v>
      </c>
      <c r="E16" s="17" t="s">
        <v>27</v>
      </c>
      <c r="F16" s="17">
        <v>8760</v>
      </c>
      <c r="G16" s="17" t="s">
        <v>28</v>
      </c>
      <c r="H16" s="17">
        <v>1</v>
      </c>
      <c r="I16" s="17" t="s">
        <v>40</v>
      </c>
      <c r="J16" s="18">
        <v>209.69</v>
      </c>
      <c r="K16" s="18">
        <v>209.69</v>
      </c>
      <c r="L16" s="18">
        <v>209.69</v>
      </c>
      <c r="M16" s="19">
        <v>0</v>
      </c>
      <c r="N16" s="15">
        <v>209.69</v>
      </c>
    </row>
    <row r="17" spans="1:14" ht="100.05" customHeight="1">
      <c r="A17" s="20" t="s">
        <v>55</v>
      </c>
      <c r="B17" s="17" t="s">
        <v>56</v>
      </c>
      <c r="C17" s="17" t="s">
        <v>17</v>
      </c>
      <c r="D17" s="17" t="s">
        <v>18</v>
      </c>
      <c r="E17" s="17" t="s">
        <v>27</v>
      </c>
      <c r="F17" s="17">
        <v>8760</v>
      </c>
      <c r="G17" s="17" t="s">
        <v>28</v>
      </c>
      <c r="H17" s="17">
        <v>1</v>
      </c>
      <c r="I17" s="17" t="s">
        <v>57</v>
      </c>
      <c r="J17" s="18">
        <v>608.82000000000005</v>
      </c>
      <c r="K17" s="18">
        <v>608.82000000000005</v>
      </c>
      <c r="L17" s="18">
        <v>608.82000000000005</v>
      </c>
      <c r="M17" s="19">
        <v>0</v>
      </c>
      <c r="N17" s="15">
        <v>608.82000000000005</v>
      </c>
    </row>
    <row r="18" spans="1:14" ht="100.05" customHeight="1">
      <c r="A18" s="7" t="s">
        <v>58</v>
      </c>
      <c r="B18" s="21" t="s">
        <v>59</v>
      </c>
      <c r="C18" s="22" t="s">
        <v>17</v>
      </c>
      <c r="D18" s="22" t="s">
        <v>18</v>
      </c>
      <c r="E18" s="22" t="s">
        <v>19</v>
      </c>
      <c r="F18" s="22">
        <v>1</v>
      </c>
      <c r="G18" s="22"/>
      <c r="H18" s="22">
        <v>1</v>
      </c>
      <c r="I18" s="22" t="s">
        <v>60</v>
      </c>
      <c r="J18" s="23">
        <v>1402.5</v>
      </c>
      <c r="K18" s="23">
        <v>1402.5</v>
      </c>
      <c r="L18" s="23">
        <v>1402.5</v>
      </c>
      <c r="M18" s="24">
        <v>0</v>
      </c>
      <c r="N18" s="15">
        <v>1402.5</v>
      </c>
    </row>
    <row r="19" spans="1:14" ht="100.05" customHeight="1">
      <c r="A19" s="7" t="s">
        <v>61</v>
      </c>
      <c r="B19" s="25" t="s">
        <v>62</v>
      </c>
      <c r="C19" s="12" t="s">
        <v>17</v>
      </c>
      <c r="D19" s="12" t="s">
        <v>18</v>
      </c>
      <c r="E19" s="12" t="s">
        <v>19</v>
      </c>
      <c r="F19" s="12">
        <v>1</v>
      </c>
      <c r="G19" s="12"/>
      <c r="H19" s="12">
        <v>1</v>
      </c>
      <c r="I19" s="12" t="s">
        <v>43</v>
      </c>
      <c r="J19" s="13">
        <v>729.66</v>
      </c>
      <c r="K19" s="13">
        <v>729.66</v>
      </c>
      <c r="L19" s="13">
        <v>729.66</v>
      </c>
      <c r="M19" s="14">
        <v>0</v>
      </c>
      <c r="N19" s="15">
        <v>729.66</v>
      </c>
    </row>
    <row r="20" spans="1:14" ht="100.05" customHeight="1">
      <c r="A20" s="7" t="s">
        <v>63</v>
      </c>
      <c r="B20" s="25" t="s">
        <v>64</v>
      </c>
      <c r="C20" s="12" t="s">
        <v>17</v>
      </c>
      <c r="D20" s="12" t="s">
        <v>18</v>
      </c>
      <c r="E20" s="12" t="s">
        <v>19</v>
      </c>
      <c r="F20" s="12">
        <v>1</v>
      </c>
      <c r="G20" s="12"/>
      <c r="H20" s="12">
        <v>1</v>
      </c>
      <c r="I20" s="12" t="s">
        <v>43</v>
      </c>
      <c r="J20" s="13">
        <v>729.66</v>
      </c>
      <c r="K20" s="13">
        <v>729.66</v>
      </c>
      <c r="L20" s="13">
        <v>729.66</v>
      </c>
      <c r="M20" s="14">
        <v>0</v>
      </c>
      <c r="N20" s="15">
        <v>729.66</v>
      </c>
    </row>
    <row r="21" spans="1:14" ht="100.05" customHeight="1">
      <c r="A21" s="7" t="s">
        <v>65</v>
      </c>
      <c r="B21" s="25" t="s">
        <v>66</v>
      </c>
      <c r="C21" s="12" t="s">
        <v>17</v>
      </c>
      <c r="D21" s="12" t="s">
        <v>18</v>
      </c>
      <c r="E21" s="12" t="s">
        <v>27</v>
      </c>
      <c r="F21" s="12">
        <v>8760</v>
      </c>
      <c r="G21" s="12" t="s">
        <v>28</v>
      </c>
      <c r="H21" s="12">
        <v>1</v>
      </c>
      <c r="I21" s="12" t="s">
        <v>67</v>
      </c>
      <c r="J21" s="13">
        <v>6762.72</v>
      </c>
      <c r="K21" s="13">
        <f>J21</f>
        <v>6762.72</v>
      </c>
      <c r="L21" s="13">
        <f>J21</f>
        <v>6762.72</v>
      </c>
      <c r="M21" s="14">
        <v>0</v>
      </c>
      <c r="N21" s="15">
        <f>J21</f>
        <v>6762.72</v>
      </c>
    </row>
    <row r="22" spans="1:14" ht="100.05" customHeight="1">
      <c r="A22" s="7" t="s">
        <v>68</v>
      </c>
      <c r="B22" s="25" t="s">
        <v>69</v>
      </c>
      <c r="C22" s="12" t="s">
        <v>17</v>
      </c>
      <c r="D22" s="12" t="s">
        <v>18</v>
      </c>
      <c r="E22" s="12" t="s">
        <v>27</v>
      </c>
      <c r="F22" s="12">
        <v>8760</v>
      </c>
      <c r="G22" s="12" t="s">
        <v>28</v>
      </c>
      <c r="H22" s="12">
        <v>1</v>
      </c>
      <c r="I22" s="12" t="s">
        <v>70</v>
      </c>
      <c r="J22" s="13">
        <v>1185.49</v>
      </c>
      <c r="K22" s="13">
        <v>1185.49</v>
      </c>
      <c r="L22" s="13">
        <v>1185.49</v>
      </c>
      <c r="M22" s="14">
        <v>0</v>
      </c>
      <c r="N22" s="15">
        <v>1185.49</v>
      </c>
    </row>
    <row r="23" spans="1:14" ht="100.05" customHeight="1">
      <c r="A23" s="7" t="s">
        <v>53</v>
      </c>
      <c r="B23" s="25" t="s">
        <v>71</v>
      </c>
      <c r="C23" s="12" t="s">
        <v>17</v>
      </c>
      <c r="D23" s="12" t="s">
        <v>18</v>
      </c>
      <c r="E23" s="12" t="s">
        <v>35</v>
      </c>
      <c r="F23" s="12">
        <v>12</v>
      </c>
      <c r="G23" s="12" t="s">
        <v>36</v>
      </c>
      <c r="H23" s="12">
        <v>1</v>
      </c>
      <c r="I23" s="12" t="s">
        <v>37</v>
      </c>
      <c r="J23" s="13">
        <f>1.89*F23</f>
        <v>22.68</v>
      </c>
      <c r="K23" s="13">
        <f>J23</f>
        <v>22.68</v>
      </c>
      <c r="L23" s="13">
        <f>J23</f>
        <v>22.68</v>
      </c>
      <c r="M23" s="14">
        <v>0</v>
      </c>
      <c r="N23" s="15">
        <f>J23</f>
        <v>22.68</v>
      </c>
    </row>
    <row r="24" spans="1:14" ht="100.05" customHeight="1">
      <c r="A24" s="7" t="s">
        <v>38</v>
      </c>
      <c r="B24" s="25" t="s">
        <v>39</v>
      </c>
      <c r="C24" s="12" t="s">
        <v>17</v>
      </c>
      <c r="D24" s="12" t="s">
        <v>18</v>
      </c>
      <c r="E24" s="12" t="s">
        <v>27</v>
      </c>
      <c r="F24" s="12">
        <v>8760</v>
      </c>
      <c r="G24" s="12" t="s">
        <v>28</v>
      </c>
      <c r="H24" s="12">
        <v>1</v>
      </c>
      <c r="I24" s="12" t="s">
        <v>40</v>
      </c>
      <c r="J24" s="13">
        <v>209.69</v>
      </c>
      <c r="K24" s="13">
        <v>209.69</v>
      </c>
      <c r="L24" s="13">
        <v>209.69</v>
      </c>
      <c r="M24" s="14">
        <v>0</v>
      </c>
      <c r="N24" s="15">
        <v>209.69</v>
      </c>
    </row>
    <row r="25" spans="1:14" ht="100.05" customHeight="1">
      <c r="A25" s="7" t="s">
        <v>72</v>
      </c>
      <c r="B25" s="25" t="s">
        <v>73</v>
      </c>
      <c r="C25" s="12" t="s">
        <v>17</v>
      </c>
      <c r="D25" s="12" t="s">
        <v>18</v>
      </c>
      <c r="E25" s="12" t="s">
        <v>27</v>
      </c>
      <c r="F25" s="12">
        <v>8760</v>
      </c>
      <c r="G25" s="12" t="s">
        <v>28</v>
      </c>
      <c r="H25" s="12">
        <v>1</v>
      </c>
      <c r="I25" s="12" t="s">
        <v>74</v>
      </c>
      <c r="J25" s="13">
        <v>1217.6400000000001</v>
      </c>
      <c r="K25" s="13">
        <v>1217.6400000000001</v>
      </c>
      <c r="L25" s="13">
        <v>1217.6400000000001</v>
      </c>
      <c r="M25" s="14">
        <v>0</v>
      </c>
      <c r="N25" s="15">
        <v>1217.6400000000001</v>
      </c>
    </row>
    <row r="26" spans="1:14" ht="100.05" customHeight="1">
      <c r="A26" s="7" t="s">
        <v>75</v>
      </c>
      <c r="B26" s="12" t="s">
        <v>76</v>
      </c>
      <c r="C26" s="12" t="s">
        <v>17</v>
      </c>
      <c r="D26" s="12" t="s">
        <v>18</v>
      </c>
      <c r="E26" s="12" t="s">
        <v>27</v>
      </c>
      <c r="F26" s="12">
        <v>8760</v>
      </c>
      <c r="G26" s="12" t="s">
        <v>28</v>
      </c>
      <c r="H26" s="12">
        <v>1</v>
      </c>
      <c r="I26" s="12" t="s">
        <v>77</v>
      </c>
      <c r="J26" s="13">
        <v>438</v>
      </c>
      <c r="K26" s="13">
        <v>438</v>
      </c>
      <c r="L26" s="13">
        <v>438</v>
      </c>
      <c r="M26" s="14">
        <v>0</v>
      </c>
      <c r="N26" s="15">
        <v>438</v>
      </c>
    </row>
    <row r="27" spans="1:14" ht="100.05" customHeight="1">
      <c r="A27" s="7" t="s">
        <v>78</v>
      </c>
      <c r="B27" s="12" t="s">
        <v>79</v>
      </c>
      <c r="C27" s="12" t="s">
        <v>17</v>
      </c>
      <c r="D27" s="12" t="s">
        <v>18</v>
      </c>
      <c r="E27" s="12" t="s">
        <v>35</v>
      </c>
      <c r="F27" s="12">
        <v>12</v>
      </c>
      <c r="G27" s="12" t="s">
        <v>36</v>
      </c>
      <c r="H27" s="12">
        <v>9</v>
      </c>
      <c r="I27" s="12" t="s">
        <v>80</v>
      </c>
      <c r="J27" s="13">
        <v>13.8</v>
      </c>
      <c r="K27" s="13">
        <v>13.8</v>
      </c>
      <c r="L27" s="13">
        <f>124.2*F27</f>
        <v>1490.4</v>
      </c>
      <c r="M27" s="14">
        <v>0</v>
      </c>
      <c r="N27" s="15">
        <f>L27</f>
        <v>1490.4</v>
      </c>
    </row>
    <row r="28" spans="1:14" ht="100.05" customHeight="1">
      <c r="A28" s="7" t="s">
        <v>81</v>
      </c>
      <c r="B28" s="12" t="s">
        <v>82</v>
      </c>
      <c r="C28" s="12" t="s">
        <v>17</v>
      </c>
      <c r="D28" s="12" t="s">
        <v>18</v>
      </c>
      <c r="E28" s="12" t="s">
        <v>27</v>
      </c>
      <c r="F28" s="12">
        <v>8760</v>
      </c>
      <c r="G28" s="12" t="s">
        <v>28</v>
      </c>
      <c r="H28" s="12">
        <v>1</v>
      </c>
      <c r="I28" s="12" t="s">
        <v>83</v>
      </c>
      <c r="J28" s="13">
        <v>3323.76</v>
      </c>
      <c r="K28" s="13">
        <v>3323.76</v>
      </c>
      <c r="L28" s="13">
        <v>3323.76</v>
      </c>
      <c r="M28" s="14">
        <v>0</v>
      </c>
      <c r="N28" s="15">
        <v>3323.76</v>
      </c>
    </row>
    <row r="29" spans="1:14" ht="100.05" customHeight="1">
      <c r="A29" s="7" t="s">
        <v>84</v>
      </c>
      <c r="B29" s="12" t="s">
        <v>85</v>
      </c>
      <c r="C29" s="12" t="s">
        <v>17</v>
      </c>
      <c r="D29" s="12" t="s">
        <v>18</v>
      </c>
      <c r="E29" s="12" t="s">
        <v>35</v>
      </c>
      <c r="F29" s="12">
        <v>12</v>
      </c>
      <c r="G29" s="12" t="s">
        <v>36</v>
      </c>
      <c r="H29" s="12">
        <v>1</v>
      </c>
      <c r="I29" s="12" t="s">
        <v>86</v>
      </c>
      <c r="J29" s="13">
        <f>300*12</f>
        <v>3600</v>
      </c>
      <c r="K29" s="13">
        <f>J29</f>
        <v>3600</v>
      </c>
      <c r="L29" s="13">
        <f>J29</f>
        <v>3600</v>
      </c>
      <c r="M29" s="14">
        <v>0</v>
      </c>
      <c r="N29" s="15">
        <f>K29</f>
        <v>3600</v>
      </c>
    </row>
    <row r="30" spans="1:14" ht="100.05" customHeight="1">
      <c r="A30" s="7" t="s">
        <v>87</v>
      </c>
      <c r="B30" s="12" t="s">
        <v>88</v>
      </c>
      <c r="C30" s="12" t="s">
        <v>17</v>
      </c>
      <c r="D30" s="12" t="s">
        <v>18</v>
      </c>
      <c r="E30" s="12" t="s">
        <v>27</v>
      </c>
      <c r="F30" s="12">
        <v>1</v>
      </c>
      <c r="G30" s="12" t="s">
        <v>36</v>
      </c>
      <c r="H30" s="12">
        <v>1</v>
      </c>
      <c r="I30" s="12" t="s">
        <v>89</v>
      </c>
      <c r="J30" s="13">
        <v>72.64</v>
      </c>
      <c r="K30" s="13">
        <v>72.64</v>
      </c>
      <c r="L30" s="13">
        <v>72.64</v>
      </c>
      <c r="M30" s="14">
        <v>0</v>
      </c>
      <c r="N30" s="15">
        <v>72.64</v>
      </c>
    </row>
    <row r="31" spans="1:14" ht="100.05" customHeight="1">
      <c r="A31" s="7" t="s">
        <v>90</v>
      </c>
      <c r="B31" s="12" t="s">
        <v>91</v>
      </c>
      <c r="C31" s="12" t="s">
        <v>17</v>
      </c>
      <c r="D31" s="12" t="s">
        <v>18</v>
      </c>
      <c r="E31" s="12" t="s">
        <v>27</v>
      </c>
      <c r="F31" s="12">
        <v>1</v>
      </c>
      <c r="G31" s="12"/>
      <c r="H31" s="12">
        <v>1</v>
      </c>
      <c r="I31" s="12" t="s">
        <v>92</v>
      </c>
      <c r="J31" s="13">
        <v>5.92</v>
      </c>
      <c r="K31" s="13">
        <v>5.92</v>
      </c>
      <c r="L31" s="13">
        <v>5.92</v>
      </c>
      <c r="M31" s="14">
        <v>0</v>
      </c>
      <c r="N31" s="15">
        <v>5.92</v>
      </c>
    </row>
    <row r="32" spans="1:14" ht="100.05" customHeight="1">
      <c r="A32" s="7" t="s">
        <v>93</v>
      </c>
      <c r="B32" s="12" t="s">
        <v>94</v>
      </c>
      <c r="C32" s="12" t="s">
        <v>17</v>
      </c>
      <c r="D32" s="12" t="s">
        <v>18</v>
      </c>
      <c r="E32" s="12" t="s">
        <v>95</v>
      </c>
      <c r="F32" s="12">
        <v>1</v>
      </c>
      <c r="G32" s="12" t="s">
        <v>96</v>
      </c>
      <c r="H32" s="12">
        <v>1</v>
      </c>
      <c r="I32" s="12" t="s">
        <v>97</v>
      </c>
      <c r="J32" s="13">
        <v>312</v>
      </c>
      <c r="K32" s="13">
        <v>312</v>
      </c>
      <c r="L32" s="13">
        <v>312</v>
      </c>
      <c r="M32" s="14">
        <v>0</v>
      </c>
      <c r="N32" s="15">
        <v>312</v>
      </c>
    </row>
    <row r="33" spans="1:14" ht="100.05" customHeight="1">
      <c r="A33" s="12" t="s">
        <v>98</v>
      </c>
      <c r="B33" s="12" t="s">
        <v>99</v>
      </c>
      <c r="C33" s="12" t="s">
        <v>100</v>
      </c>
      <c r="D33" s="12" t="s">
        <v>18</v>
      </c>
      <c r="E33" s="12" t="s">
        <v>27</v>
      </c>
      <c r="F33" s="12">
        <v>1</v>
      </c>
      <c r="G33" s="12"/>
      <c r="H33" s="12">
        <v>12</v>
      </c>
      <c r="I33" s="12" t="s">
        <v>101</v>
      </c>
      <c r="J33" s="13">
        <v>235.52</v>
      </c>
      <c r="K33" s="13">
        <v>235.52</v>
      </c>
      <c r="L33" s="13">
        <f>235.52*H33</f>
        <v>2826.2400000000002</v>
      </c>
      <c r="M33" s="14">
        <v>0</v>
      </c>
      <c r="N33" s="15">
        <f>L33</f>
        <v>2826.2400000000002</v>
      </c>
    </row>
    <row r="34" spans="1:14" ht="40.049999999999997" customHeight="1" thickBot="1">
      <c r="A34" s="26" t="s">
        <v>102</v>
      </c>
      <c r="B34" s="26"/>
      <c r="C34" s="26"/>
      <c r="D34" s="26"/>
      <c r="E34" s="26"/>
      <c r="F34" s="26"/>
      <c r="G34" s="26"/>
      <c r="H34" s="26"/>
      <c r="I34" s="26"/>
      <c r="J34" s="27">
        <f>SUM(J3:J33)</f>
        <v>28254.2</v>
      </c>
      <c r="K34" s="27">
        <f>SUM(K3:K33)</f>
        <v>28254.2</v>
      </c>
      <c r="L34" s="27">
        <f>SUM(L3:L33)</f>
        <v>32321.52</v>
      </c>
      <c r="M34" s="28">
        <v>0</v>
      </c>
      <c r="N34" s="29">
        <f>SUM(N3:N33)</f>
        <v>32321.52</v>
      </c>
    </row>
    <row r="35" spans="1:14" ht="40.049999999999997" customHeight="1" thickBot="1">
      <c r="A35" s="30" t="s">
        <v>102</v>
      </c>
      <c r="B35" s="30"/>
      <c r="C35" s="30"/>
      <c r="D35" s="30"/>
      <c r="E35" s="30"/>
      <c r="F35" s="30"/>
      <c r="G35" s="30"/>
      <c r="H35" s="30"/>
      <c r="I35" s="30"/>
      <c r="J35" s="31"/>
      <c r="K35" s="31"/>
      <c r="L35" s="31"/>
      <c r="M35" s="32"/>
      <c r="N35" s="33">
        <f>N34</f>
        <v>32321.52</v>
      </c>
    </row>
    <row r="36" spans="1:14" ht="17.399999999999999">
      <c r="A36" s="34" t="s">
        <v>103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</row>
  </sheetData>
  <mergeCells count="4">
    <mergeCell ref="A1:N1"/>
    <mergeCell ref="A34:I34"/>
    <mergeCell ref="A35:I35"/>
    <mergeCell ref="A36:N3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Calculator (Simplified)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Hilaick Yard</dc:creator>
  <cp:lastModifiedBy>Hilaick Yard</cp:lastModifiedBy>
  <dcterms:created xsi:type="dcterms:W3CDTF">2026-06-18T14:08:44Z</dcterms:created>
  <dcterms:modified xsi:type="dcterms:W3CDTF">2026-06-18T14:08:58Z</dcterms:modified>
</cp:coreProperties>
</file>