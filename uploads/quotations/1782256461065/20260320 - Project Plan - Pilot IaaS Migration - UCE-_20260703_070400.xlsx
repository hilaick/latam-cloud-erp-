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84434264\Desktop\Cloud\Projects\DR\Public Cloud\Gesnett-UCE\Delivery\Project Plan\"/>
    </mc:Choice>
  </mc:AlternateContent>
  <xr:revisionPtr revIDLastSave="0" documentId="13_ncr:1_{AACD1E02-9547-4D50-AEBD-E6C3A8707D15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UCE Migration" sheetId="1" r:id="rId1"/>
    <sheet name="VM Inventory" sheetId="3" r:id="rId2"/>
    <sheet name="Azure Architecture" sheetId="2" r:id="rId3"/>
    <sheet name="Whole Infra Quotation" sheetId="4" r:id="rId4"/>
    <sheet name="Pilot Infra Quotation" sheetId="5" r:id="rId5"/>
  </sheets>
  <externalReferences>
    <externalReference r:id="rId6"/>
    <externalReference r:id="rId7"/>
  </externalReferences>
  <definedNames>
    <definedName name="QF_SYS_SIGNER" localSheetId="4">[2]Discount!$E$13</definedName>
    <definedName name="QF_SYS_SIGNER">[1]Discount!$E$13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wrGKpxjpBIBqARRf1v0FSaQjn6eI7bRzB2nWfbws8KQ="/>
    </ext>
  </extLst>
</workbook>
</file>

<file path=xl/calcChain.xml><?xml version="1.0" encoding="utf-8"?>
<calcChain xmlns="http://schemas.openxmlformats.org/spreadsheetml/2006/main">
  <c r="K15" i="5" l="1"/>
  <c r="L14" i="5"/>
  <c r="M14" i="5" s="1"/>
  <c r="L13" i="5"/>
  <c r="M13" i="5" s="1"/>
  <c r="M12" i="5"/>
  <c r="M11" i="5"/>
  <c r="L10" i="5"/>
  <c r="M10" i="5" s="1"/>
  <c r="L9" i="5"/>
  <c r="M9" i="5" s="1"/>
  <c r="A9" i="5"/>
  <c r="A7" i="5"/>
  <c r="M15" i="5" l="1"/>
  <c r="B19" i="5" s="1"/>
  <c r="L15" i="5"/>
  <c r="K45" i="4" l="1"/>
  <c r="M44" i="4"/>
  <c r="M43" i="4"/>
  <c r="M42" i="4"/>
  <c r="M41" i="4"/>
  <c r="M40" i="4"/>
  <c r="M39" i="4"/>
  <c r="M38" i="4"/>
  <c r="L37" i="4"/>
  <c r="M37" i="4" s="1"/>
  <c r="A37" i="4"/>
  <c r="L36" i="4"/>
  <c r="M36" i="4" s="1"/>
  <c r="A36" i="4"/>
  <c r="M35" i="4"/>
  <c r="L35" i="4"/>
  <c r="A35" i="4"/>
  <c r="L34" i="4"/>
  <c r="M34" i="4" s="1"/>
  <c r="A34" i="4"/>
  <c r="M33" i="4"/>
  <c r="L33" i="4"/>
  <c r="A33" i="4"/>
  <c r="M32" i="4"/>
  <c r="L32" i="4"/>
  <c r="A32" i="4"/>
  <c r="L31" i="4"/>
  <c r="M31" i="4" s="1"/>
  <c r="A31" i="4"/>
  <c r="L30" i="4"/>
  <c r="M30" i="4" s="1"/>
  <c r="A30" i="4"/>
  <c r="L29" i="4"/>
  <c r="M29" i="4" s="1"/>
  <c r="A29" i="4"/>
  <c r="L28" i="4"/>
  <c r="M28" i="4" s="1"/>
  <c r="A28" i="4"/>
  <c r="L27" i="4"/>
  <c r="M27" i="4" s="1"/>
  <c r="A27" i="4"/>
  <c r="L26" i="4"/>
  <c r="M26" i="4" s="1"/>
  <c r="A26" i="4"/>
  <c r="M25" i="4"/>
  <c r="L25" i="4"/>
  <c r="A25" i="4"/>
  <c r="L24" i="4"/>
  <c r="M24" i="4" s="1"/>
  <c r="A24" i="4"/>
  <c r="L23" i="4"/>
  <c r="M23" i="4" s="1"/>
  <c r="A23" i="4"/>
  <c r="L22" i="4"/>
  <c r="M22" i="4" s="1"/>
  <c r="A22" i="4"/>
  <c r="M21" i="4"/>
  <c r="L21" i="4"/>
  <c r="A21" i="4"/>
  <c r="L20" i="4"/>
  <c r="M20" i="4" s="1"/>
  <c r="A20" i="4"/>
  <c r="L19" i="4"/>
  <c r="M19" i="4" s="1"/>
  <c r="A19" i="4"/>
  <c r="L18" i="4"/>
  <c r="M18" i="4" s="1"/>
  <c r="A18" i="4"/>
  <c r="M17" i="4"/>
  <c r="L17" i="4"/>
  <c r="A17" i="4"/>
  <c r="L16" i="4"/>
  <c r="M16" i="4" s="1"/>
  <c r="A16" i="4"/>
  <c r="L15" i="4"/>
  <c r="M15" i="4" s="1"/>
  <c r="A15" i="4"/>
  <c r="L14" i="4"/>
  <c r="M14" i="4" s="1"/>
  <c r="A14" i="4"/>
  <c r="L13" i="4"/>
  <c r="M13" i="4" s="1"/>
  <c r="A13" i="4"/>
  <c r="L12" i="4"/>
  <c r="M12" i="4" s="1"/>
  <c r="A12" i="4"/>
  <c r="L11" i="4"/>
  <c r="M11" i="4" s="1"/>
  <c r="A11" i="4"/>
  <c r="L10" i="4"/>
  <c r="M10" i="4" s="1"/>
  <c r="A10" i="4"/>
  <c r="M9" i="4"/>
  <c r="L9" i="4"/>
  <c r="A9" i="4"/>
  <c r="A7" i="4"/>
  <c r="L45" i="4" l="1"/>
  <c r="M45" i="4"/>
  <c r="B49" i="4" s="1"/>
  <c r="G5" i="1" l="1"/>
  <c r="F5" i="1"/>
  <c r="G23" i="1"/>
  <c r="F16" i="1"/>
  <c r="E7" i="1" l="1"/>
  <c r="E11" i="1"/>
  <c r="E16" i="1" l="1"/>
  <c r="C5" i="1" s="1"/>
  <c r="G11" i="1" l="1"/>
  <c r="F11" i="1"/>
  <c r="G7" i="1"/>
  <c r="F7" i="1"/>
  <c r="F23" i="1" l="1"/>
  <c r="G19" i="1"/>
  <c r="F19" i="1"/>
  <c r="G1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Alonso Bolanos Mora (A)</author>
  </authors>
  <commentList>
    <comment ref="A1" authorId="0" shapeId="0" xr:uid="{B707E4AE-847D-4323-AC2C-2DB859F6AAF7}">
      <text>
        <r>
          <rPr>
            <b/>
            <sz val="9"/>
            <color indexed="81"/>
            <rFont val="Tahoma"/>
            <family val="2"/>
          </rPr>
          <t>La primera linea es un ejemplo.</t>
        </r>
      </text>
    </comment>
  </commentList>
</comments>
</file>

<file path=xl/sharedStrings.xml><?xml version="1.0" encoding="utf-8"?>
<sst xmlns="http://schemas.openxmlformats.org/spreadsheetml/2006/main" count="773" uniqueCount="346">
  <si>
    <t>Responsible</t>
  </si>
  <si>
    <t>Id</t>
  </si>
  <si>
    <t>Name</t>
  </si>
  <si>
    <t>Progress</t>
  </si>
  <si>
    <t>Start Date</t>
  </si>
  <si>
    <t>End Date</t>
  </si>
  <si>
    <t>1</t>
  </si>
  <si>
    <t>Preparation phase:</t>
  </si>
  <si>
    <t/>
  </si>
  <si>
    <t>1.1</t>
  </si>
  <si>
    <t>Creating the account</t>
  </si>
  <si>
    <t>Creating IAM Users</t>
  </si>
  <si>
    <t>2</t>
  </si>
  <si>
    <t>2.1</t>
  </si>
  <si>
    <t>Provisioning the VPC</t>
  </si>
  <si>
    <t>Security Group Definition</t>
  </si>
  <si>
    <t>Run tests previously defined</t>
  </si>
  <si>
    <t>Review test results</t>
  </si>
  <si>
    <t>Make necessary adjustments based on the tests</t>
  </si>
  <si>
    <t>VPN Configuration between Huawei Cloud On-Premise</t>
  </si>
  <si>
    <t>R = Responsible, S = Supporter</t>
  </si>
  <si>
    <t>UCE</t>
  </si>
  <si>
    <t>UCE, Huawei (S)</t>
  </si>
  <si>
    <t>Gestnett/UCE/Huawei</t>
  </si>
  <si>
    <t>Partner Gestnett Console Association</t>
  </si>
  <si>
    <t>VPN Configuration between Huawei Cloud &amp; Azure</t>
  </si>
  <si>
    <t>Install agent and start syncronization - UCEMOOD02</t>
  </si>
  <si>
    <t>Switchover Moodle application to Cloud</t>
  </si>
  <si>
    <t>Pilot Migration Plan
UCE Infrastructure Environment</t>
  </si>
  <si>
    <t>Phase 0 - Network Settings:</t>
  </si>
  <si>
    <t>Phase 1 - Migrate Moodle and other services</t>
  </si>
  <si>
    <t>Phase 2 - Satisfaction Criteria Test:</t>
  </si>
  <si>
    <t>Phase 3 - Integral migration:</t>
  </si>
  <si>
    <t>Follow-up meeting to discuss pilot conclusion and next steps</t>
  </si>
  <si>
    <t>UCE Pilot Infrastructure Environment</t>
  </si>
  <si>
    <t>Servicios de computo</t>
    <phoneticPr fontId="3" type="noConversion"/>
  </si>
  <si>
    <t>Server</t>
    <phoneticPr fontId="3" type="noConversion"/>
  </si>
  <si>
    <t>Nombre</t>
    <phoneticPr fontId="3" type="noConversion"/>
  </si>
  <si>
    <t>vCPU</t>
  </si>
  <si>
    <t>Memoria RAM</t>
    <phoneticPr fontId="3" type="noConversion"/>
  </si>
  <si>
    <t>Dirección IP privada</t>
  </si>
  <si>
    <t>¿Posee IP pública?</t>
  </si>
  <si>
    <t>Almacenamiento por particiones TOTAL</t>
    <phoneticPr fontId="3" type="noConversion"/>
  </si>
  <si>
    <t>Tipo Disco</t>
  </si>
  <si>
    <t>SO</t>
    <phoneticPr fontId="3" type="noConversion"/>
  </si>
  <si>
    <t>Versión SO</t>
    <phoneticPr fontId="3" type="noConversion"/>
  </si>
  <si>
    <t>Promedio/Máximo de CPU</t>
    <phoneticPr fontId="3" type="noConversion"/>
  </si>
  <si>
    <t>Promedio/Máximo RAM</t>
    <phoneticPr fontId="3" type="noConversion"/>
  </si>
  <si>
    <t>Motor Base Datos (en caso de tener base de datos)</t>
    <phoneticPr fontId="3" type="noConversion"/>
  </si>
  <si>
    <t>Servicio que corre</t>
  </si>
  <si>
    <t>[Ejemplo] Server Test</t>
  </si>
  <si>
    <t>[Ejemplo] 8</t>
  </si>
  <si>
    <t>[Ejemplo] 32Gb</t>
  </si>
  <si>
    <t>[Ejemplo] 128Gb / 256Gb</t>
  </si>
  <si>
    <t>[Ejemplo] HDD / SSD</t>
  </si>
  <si>
    <t xml:space="preserve">[Ejemplo] Windows </t>
  </si>
  <si>
    <t xml:space="preserve"> [Ejemplo] Server 2019 Standard</t>
  </si>
  <si>
    <t>[Ejemplo] 35%/85%</t>
  </si>
  <si>
    <t xml:space="preserve">[Ejemplo] SQL </t>
  </si>
  <si>
    <t xml:space="preserve">[Ejemplo] Web, BD, Moodle... </t>
  </si>
  <si>
    <t>ALUCEMOOD02</t>
  </si>
  <si>
    <t>8GB</t>
  </si>
  <si>
    <t>10.0.16.5</t>
  </si>
  <si>
    <t>Si</t>
  </si>
  <si>
    <t>512GB</t>
  </si>
  <si>
    <t>SSD</t>
  </si>
  <si>
    <t>Linux</t>
  </si>
  <si>
    <t>Linux (ubuntu 24.04)</t>
  </si>
  <si>
    <t>Prom: 12%, Máx: 35.74%</t>
  </si>
  <si>
    <t>Prom: 30%, Máx: 44%</t>
  </si>
  <si>
    <t>MySQL</t>
  </si>
  <si>
    <t>Moodle</t>
  </si>
  <si>
    <t>CEBUCEMOOD01 (Stopped)</t>
  </si>
  <si>
    <t>10.0.17.4</t>
  </si>
  <si>
    <t>Linux (ubuntu 18.04)</t>
  </si>
  <si>
    <t>Prom: 3%, Máx: 70.43%</t>
  </si>
  <si>
    <t>Prom: 24%, Máx: 27%</t>
  </si>
  <si>
    <t>CMUCE01</t>
  </si>
  <si>
    <t>172.17.64.10</t>
  </si>
  <si>
    <t>30GB</t>
  </si>
  <si>
    <t>Linux (ubuntu 20.04)</t>
  </si>
  <si>
    <t>Prom: 3.5%, Máx: 52.7%</t>
  </si>
  <si>
    <t>Prom: 55%, Máx: 58%</t>
  </si>
  <si>
    <t>Web</t>
  </si>
  <si>
    <t>EgresadosMau02</t>
  </si>
  <si>
    <t>10.3.0.6</t>
  </si>
  <si>
    <t>Linux (debian 10.13)</t>
  </si>
  <si>
    <t>Prom: 5%, Máx: 90%</t>
  </si>
  <si>
    <t>Prom: 75%, Máx: 80%</t>
  </si>
  <si>
    <t>MAUTIC</t>
  </si>
  <si>
    <t>EGRESADOSWP02</t>
  </si>
  <si>
    <t>10.3.0.4</t>
  </si>
  <si>
    <t>Prom: 69%, Máx: 99%</t>
  </si>
  <si>
    <t>Prom: 85%, Máx: 95%</t>
  </si>
  <si>
    <t>WordPress</t>
  </si>
  <si>
    <t>REDMINEPNUD03</t>
  </si>
  <si>
    <t>10.2.0.4</t>
  </si>
  <si>
    <t>Prom: 1%, Máx: 15.77%</t>
  </si>
  <si>
    <t>Prom: 20%, Máx: 23%</t>
  </si>
  <si>
    <t>Redmine</t>
  </si>
  <si>
    <t>SRVCIDIIA</t>
  </si>
  <si>
    <t>16GB</t>
  </si>
  <si>
    <t>10.4.0.4</t>
  </si>
  <si>
    <t>256GB</t>
  </si>
  <si>
    <t>Linux (debian 12)</t>
  </si>
  <si>
    <t>Prom: 2%, Máx: 27%</t>
  </si>
  <si>
    <t>Prom: 92%, Máx: 97%</t>
  </si>
  <si>
    <t>UCEAZBE (Stopped)</t>
  </si>
  <si>
    <t>3.5GB</t>
  </si>
  <si>
    <t>172.17.64.6</t>
  </si>
  <si>
    <t>64GB</t>
  </si>
  <si>
    <t>UCEAZBIB01</t>
  </si>
  <si>
    <t>172.17.64.5</t>
  </si>
  <si>
    <t>HDD</t>
  </si>
  <si>
    <t>Linux (ubuntu 17.10)</t>
  </si>
  <si>
    <t>Prom: 58%, Máx: 95%</t>
  </si>
  <si>
    <t>Prom: 13%, Máx: 99%</t>
  </si>
  <si>
    <t>KOHA</t>
  </si>
  <si>
    <t>UCEAZCEGODEL</t>
  </si>
  <si>
    <t>172.17.64.21</t>
  </si>
  <si>
    <t>32GB</t>
  </si>
  <si>
    <t>Prom: 1%, Máx: 71%</t>
  </si>
  <si>
    <t>Prom: 43%, Máx: 56%</t>
  </si>
  <si>
    <t>UCEAZCOSTO</t>
  </si>
  <si>
    <t>172.17.64.14</t>
  </si>
  <si>
    <t>Prom: 3%, Máx: 23%</t>
  </si>
  <si>
    <t>Prom: 40%, Máx: 41%</t>
  </si>
  <si>
    <t>UCEAZDATAGATEWAY</t>
  </si>
  <si>
    <t>172.17.64.16</t>
  </si>
  <si>
    <t>127GB</t>
  </si>
  <si>
    <t>Windows</t>
  </si>
  <si>
    <t>Windows (Windows Server 2019 Datacenter)</t>
  </si>
  <si>
    <t>Prom: 3%, Máx: 61%</t>
  </si>
  <si>
    <t>Prom: 68GB, Máx: 82%</t>
  </si>
  <si>
    <t>Gateway Power Automate</t>
  </si>
  <si>
    <t>UCEAZDC02</t>
  </si>
  <si>
    <t>172.17.64.12</t>
  </si>
  <si>
    <t>No</t>
  </si>
  <si>
    <t>Prom: 20%, Máx: 94%</t>
  </si>
  <si>
    <t>Prom: 88%, Máx: 97%</t>
  </si>
  <si>
    <t>AD Domain Controller</t>
  </si>
  <si>
    <t>UCEAZEXP01</t>
  </si>
  <si>
    <t>172.17.64.13</t>
  </si>
  <si>
    <t>Linux (ubuntu 22.04)</t>
  </si>
  <si>
    <t>Prom: 2%, Máx: 72%</t>
  </si>
  <si>
    <t>Prom: 20%, Máx: 25%</t>
  </si>
  <si>
    <t>UCEAZFORMS</t>
  </si>
  <si>
    <t>172.17.64.4</t>
  </si>
  <si>
    <t>Prom: 1%, Máx: 76%</t>
  </si>
  <si>
    <t>Prom: 40%, Máx: 42%</t>
  </si>
  <si>
    <t>Limesurvey</t>
  </si>
  <si>
    <t>UCEAZFRONTEND</t>
  </si>
  <si>
    <t>172.17.64.18</t>
  </si>
  <si>
    <t>Prom: 3%, Máx: 71%</t>
  </si>
  <si>
    <t>Prom: 30%, Máx: 47%</t>
  </si>
  <si>
    <t>UCEAZGLITCHTIP</t>
  </si>
  <si>
    <t>172.17.64.8</t>
  </si>
  <si>
    <t>Prom: 70%, Máx: 99%</t>
  </si>
  <si>
    <t>Glithctip</t>
  </si>
  <si>
    <t>UCEAZIDIOMAS</t>
  </si>
  <si>
    <t>10.1.0.6</t>
  </si>
  <si>
    <t>Prom: 3%, Máx: 99%</t>
  </si>
  <si>
    <t>Prom: 30%, Max: 48%</t>
  </si>
  <si>
    <t>UCEAZINVOICENINJA (Stopped)</t>
  </si>
  <si>
    <t>172.17.64.19</t>
  </si>
  <si>
    <t>128GB</t>
  </si>
  <si>
    <t>Prom: 14%, Máx: 76%</t>
  </si>
  <si>
    <t>Prom: 45%, Max: 49%</t>
  </si>
  <si>
    <t>UCEAZMODREF</t>
  </si>
  <si>
    <t>172.17.64.15</t>
  </si>
  <si>
    <t>Prom: 3%, Máx: 79%</t>
  </si>
  <si>
    <t>Prom: 50%, Máx: 99%</t>
  </si>
  <si>
    <t>UCEAZREP01</t>
  </si>
  <si>
    <t>14GB</t>
  </si>
  <si>
    <t>172.17.64.29</t>
  </si>
  <si>
    <t>Windows (Windows Server 2016 Datacenter)</t>
  </si>
  <si>
    <t>Prom: 6%, Max: 94%</t>
  </si>
  <si>
    <t>Prom: 33%, Max: 50%</t>
  </si>
  <si>
    <t>Reporting services</t>
  </si>
  <si>
    <t>UCEAZREP02 (Stopped)</t>
  </si>
  <si>
    <t>172.17.64.30</t>
  </si>
  <si>
    <t>UCEAZREVISTAUC</t>
  </si>
  <si>
    <t>Prom: 2%, Máx: 63%</t>
  </si>
  <si>
    <t>Prom: 30%, Máx: 33%</t>
  </si>
  <si>
    <t>Open Journal System (OJS)</t>
  </si>
  <si>
    <t>UCEAZRRHHMOD</t>
  </si>
  <si>
    <t>4GB</t>
  </si>
  <si>
    <t>172.17.64.11</t>
  </si>
  <si>
    <t>Prom: 2%, Máx: 54%</t>
  </si>
  <si>
    <t>Prom: 52%, Max: 68%</t>
  </si>
  <si>
    <t>UCEAZSP01</t>
  </si>
  <si>
    <t>172.17.64.36</t>
  </si>
  <si>
    <t>200GB</t>
  </si>
  <si>
    <t>Prom: 30%, Max: 94%</t>
  </si>
  <si>
    <t>Prom: 50%, Máx: 61%</t>
  </si>
  <si>
    <t>Sharepoint</t>
  </si>
  <si>
    <t>UCEAZSP2013-5</t>
  </si>
  <si>
    <t>28GB</t>
  </si>
  <si>
    <t>172.17.64.49</t>
  </si>
  <si>
    <t>500GGB</t>
  </si>
  <si>
    <t>Windows (Windows Server 2008 R2 Datacenter)</t>
  </si>
  <si>
    <t>Prom: 6%, Max: 74%</t>
  </si>
  <si>
    <t>Prom: 40%, Max: 49%</t>
  </si>
  <si>
    <t>UCEAZSQL01</t>
  </si>
  <si>
    <t>172.17.64.26</t>
  </si>
  <si>
    <t>3,400 GB</t>
  </si>
  <si>
    <t>Prom: 10%, Max: 88%</t>
  </si>
  <si>
    <t>SQL Server</t>
  </si>
  <si>
    <t>BD</t>
  </si>
  <si>
    <t>UCEAZSQL02</t>
  </si>
  <si>
    <t>172.17.64.27</t>
  </si>
  <si>
    <t>Prom: 25%, Max: 94%</t>
  </si>
  <si>
    <t>Prom: 92%, Máx: 99%</t>
  </si>
  <si>
    <t>UCEAZSQL03 (Stopped)</t>
  </si>
  <si>
    <t>172.17.64.28</t>
  </si>
  <si>
    <t>UCEAZWEB01 (Stopped)</t>
  </si>
  <si>
    <t>172.17.64.23</t>
  </si>
  <si>
    <t>UCEAZWEB02</t>
  </si>
  <si>
    <t>172.17.64.24</t>
  </si>
  <si>
    <t>150GB</t>
  </si>
  <si>
    <t>Prom: 4%, Max: 85%</t>
  </si>
  <si>
    <t>Prom: 40%, Max: 88%</t>
  </si>
  <si>
    <t>UCEMOOD01 (Stopped)</t>
  </si>
  <si>
    <t>10.1.0.7</t>
  </si>
  <si>
    <t>3,122GB</t>
  </si>
  <si>
    <t>UCEMOOD02 (migrar en 1era. fase)</t>
  </si>
  <si>
    <t>172.17.64.17</t>
  </si>
  <si>
    <t>Prom: 17%, Max: 99%</t>
  </si>
  <si>
    <t>Prom: 80%, Máx: 99%</t>
  </si>
  <si>
    <t>UCEAZFINANCIERO</t>
  </si>
  <si>
    <t>172.17.64.7</t>
  </si>
  <si>
    <t>Prom: 10.44%, Max: 90.6%</t>
  </si>
  <si>
    <t>Prom: 25%, Max: 29%</t>
  </si>
  <si>
    <t>UCEAZSQL-SISPEDRO</t>
  </si>
  <si>
    <t>172.17.64.34</t>
  </si>
  <si>
    <t>Prom: 3.45%, Max: 93.43%</t>
  </si>
  <si>
    <t>prom: 42%, Max: 57%</t>
  </si>
  <si>
    <t>CALCULADORA DE SERVICIOS</t>
  </si>
  <si>
    <t>Required</t>
  </si>
  <si>
    <t>Service</t>
  </si>
  <si>
    <t>Description</t>
  </si>
  <si>
    <t>Region</t>
  </si>
  <si>
    <t>AZ</t>
  </si>
  <si>
    <t>Billing Mode</t>
  </si>
  <si>
    <t>Purchase Amount</t>
  </si>
  <si>
    <t>Unit</t>
  </si>
  <si>
    <t>Quantity</t>
  </si>
  <si>
    <t>Specifications</t>
  </si>
  <si>
    <t>Unit Price (USD)</t>
  </si>
  <si>
    <t>Yearly Price (USD)</t>
  </si>
  <si>
    <t>Monthly Price (USD)</t>
  </si>
  <si>
    <t>Elastic Cloud Server 1</t>
  </si>
  <si>
    <t>LA-Mexico City2</t>
  </si>
  <si>
    <t xml:space="preserve">General AZ </t>
  </si>
  <si>
    <t xml:space="preserve"> RI</t>
  </si>
  <si>
    <t xml:space="preserve">Ubuntu | Ubuntu 22.04 server 64bit; x86 | General computing | s7n.large.4 | 2 vCPUs | 8GiB | No Upfront | 1 Year; General Purpose SSD | 512GB; </t>
  </si>
  <si>
    <t>Elastic Cloud Server 3</t>
  </si>
  <si>
    <t xml:space="preserve">Ubuntu | Ubuntu 22.04 server 64bit; x86 | General computing | x0.2u.8g | 2 vCPUs | 8GiB | No Upfront | 1 Year; General Purpose SSD | 100GB; </t>
  </si>
  <si>
    <t>Elastic Cloud Server 4</t>
  </si>
  <si>
    <t xml:space="preserve">Debian | Debian 11.1.0 64bit; x86 | General computing | s7n.large.4 | 2 vCPUs | 8GiB | No Upfront | 1 Year; General Purpose SSD | 100GB; </t>
  </si>
  <si>
    <t>Elastic Cloud Server 5</t>
  </si>
  <si>
    <t>EGRESADOSWP-RESTAURADA-2</t>
  </si>
  <si>
    <t xml:space="preserve">Debian | Debian 11.1.0 64bit; x86 | General computing | x0.2u.8g | 2 vCPUs | 8GiB | No Upfront | 1 Year; General Purpose SSD | 100GB; </t>
  </si>
  <si>
    <t>Elastic Cloud Server 6</t>
  </si>
  <si>
    <t>Elastic Cloud Server 7</t>
  </si>
  <si>
    <t xml:space="preserve">Debian | Debian 11.1.0 64bit; x86 | General computing | s7n.2xlarge.2 | 8 vCPUs | 16GiB | No Upfront | 1 Year; General Purpose SSD | 256GB; </t>
  </si>
  <si>
    <t>Elastic Cloud Server 8</t>
  </si>
  <si>
    <t xml:space="preserve">Debian | Debian 11.1.0 64bit; x86 | General computing | s7n.xlarge.4 | 4 vCPUs | 16GiB | No Upfront | 1 Year; General Purpose SSD | 100GB; </t>
  </si>
  <si>
    <t>Elastic Cloud Server 9</t>
  </si>
  <si>
    <t xml:space="preserve">Ubuntu | Ubuntu 22.04 server 64bit; x86 | General computing | x0.1u.4g | 1vCPU | 4GiB | No Upfront | 1 Year; General Purpose SSD | 100GB; </t>
  </si>
  <si>
    <t>Elastic Cloud Server 10</t>
  </si>
  <si>
    <t>Elastic Cloud Server 11</t>
  </si>
  <si>
    <t xml:space="preserve">Private Image: Windows Server (BYOL) 64 bit; x86 | General computing | x0.2u.8g | 2 vCPUs | 8GiB | No Upfront | 1 Year; General Purpose SSD | 127GB; </t>
  </si>
  <si>
    <t>Elastic Cloud Server 12</t>
  </si>
  <si>
    <t xml:space="preserve">Private Image: Windows Server (BYOL) 64 bit; x86 | General computing | s7n.large.4 | 2 vCPUs | 8GiB | No Upfront | 1 Year; General Purpose SSD | 127GB; </t>
  </si>
  <si>
    <t>Elastic Cloud Server 13</t>
  </si>
  <si>
    <t>Elastic Cloud Server 14</t>
  </si>
  <si>
    <t>Elastic Cloud Server 15</t>
  </si>
  <si>
    <t>Elastic Cloud Server 16</t>
  </si>
  <si>
    <t xml:space="preserve">Ubuntu | Ubuntu 22.04 server 64bit; x86 | General computing | x0.1u.4g | 1vCPU | 4GiB | No Upfront | 1 Year; General Purpose SSD | 256GB; </t>
  </si>
  <si>
    <t>Elastic Cloud Server 17</t>
  </si>
  <si>
    <t xml:space="preserve">Ubuntu | Ubuntu 22.04 server 64bit; x86 | General computing | x0.2u.8g | 2 vCPUs | 8GiB | No Upfront | 1 Year; General Purpose SSD | 256GB; </t>
  </si>
  <si>
    <t>Elastic Cloud Server 19</t>
  </si>
  <si>
    <t xml:space="preserve">Private Image: Windows Server (BYOL) 64 bit; x86 | General computing | x0.4u.16g | 4 vCPUs | 16GiB | No Upfront | 1 Year; General Purpose SSD | 256GB; </t>
  </si>
  <si>
    <t>Elastic Cloud Server 20</t>
  </si>
  <si>
    <t xml:space="preserve">Private Image: Windows Server (BYOL) 64 bit; x86 | General computing | x0.2u.12g | 2 vCPUs | 12GiB | No Upfront | 1 Year; General Purpose SSD | 127GB; </t>
  </si>
  <si>
    <t>Elastic Cloud Server 21</t>
  </si>
  <si>
    <t>Elastic Cloud Server 22</t>
  </si>
  <si>
    <t xml:space="preserve">Ubuntu | Ubuntu 22.04 server 64bit; x86 | General computing | x0.2u.4g | 2 vCPUs | 4GiB | No Upfront | 1 Year; General Purpose SSD | 100GB; </t>
  </si>
  <si>
    <t>Elastic Cloud Server 23</t>
  </si>
  <si>
    <t xml:space="preserve">Private Image: Windows Server (BYOL) 64 bit; x86 | General computing | x0.4u.16g | 4 vCPUs | 16GiB | No Upfront | 1 Year; General Purpose SSD | 200GB; </t>
  </si>
  <si>
    <t>Elastic Cloud Server 24</t>
  </si>
  <si>
    <t xml:space="preserve">Private Image: Windows Server (BYOL) 64 bit; x86 | General computing | x0.4u.32g | 4 vCPUs | 32GiB | No Upfront | 1 Year; General Purpose SSD | 500GB; </t>
  </si>
  <si>
    <t>Elastic Cloud Server 25</t>
  </si>
  <si>
    <t xml:space="preserve">Private Image: Windows Server (BYOL) 64 bit; x86 | General computing | s7n.xlarge.4 | 4 vCPUs | 16GiB | No Upfront | 1 Year; General Purpose SSD | 100GB; General Purpose SSD | 3400GB; </t>
  </si>
  <si>
    <t>Elastic Cloud Server 26</t>
  </si>
  <si>
    <t xml:space="preserve">Private Image: Windows Server (BYOL) 64 bit; x86 | General computing | s7n.2xlarge.4 | 8 vCPUs | 32GiB | No Upfront | 1 Year; General Purpose SSD | 127GB; </t>
  </si>
  <si>
    <t>Elastic Cloud Server 27</t>
  </si>
  <si>
    <t xml:space="preserve">Private Image: Windows Server (BYOL) 64 bit; x86 | General computing | x0.4u.16g | 4 vCPUs | 16GiB | No Upfront | 1 Year; General Purpose SSD | 150GB; </t>
  </si>
  <si>
    <t>Elastic Cloud Server 28</t>
  </si>
  <si>
    <t>UCEMOOD02</t>
  </si>
  <si>
    <t xml:space="preserve">Ubuntu | Ubuntu 22.04 server 64bit; x86 | General computing | x0.8u.32g | 8 vCPUs | 32GiB | No Upfront | 1 Year; General Purpose SSD | 128GB; General Purpose SSD | 3122GB; </t>
  </si>
  <si>
    <t>Elastic Cloud Server 29</t>
  </si>
  <si>
    <t>App Service</t>
  </si>
  <si>
    <t xml:space="preserve">Private Image: Windows Server (BYOL) 64 bit; x86 | General computing | x0.1u.2g | 1vCPU | 2GiB | No Upfront | 1 Year; General Purpose SSD | 50GB; </t>
  </si>
  <si>
    <t>Elastic Cloud Server 30</t>
  </si>
  <si>
    <t xml:space="preserve">Ubuntu | Ubuntu 22.04 server 64bit; x86 | General computing | x0.2u.8g | 2 vCPUs | 8GiB | No Upfront | 1 Year; General Purpose SSD | 70GB; </t>
  </si>
  <si>
    <t>Elastic Cloud Server 31</t>
  </si>
  <si>
    <t xml:space="preserve">Private Image: Windows Server (BYOL) 64 bit; x86 | General computing | x0.2u.8g | 2 vCPUs | 8GiB | No Upfront | 1 Year; General Purpose SSD | 150GB; </t>
  </si>
  <si>
    <t>Server Backup</t>
  </si>
  <si>
    <t>Cloud Backup and Recovery 1</t>
  </si>
  <si>
    <t>Cloud Backup and Recovery</t>
  </si>
  <si>
    <t>Pay-per-use</t>
  </si>
  <si>
    <t>hours</t>
  </si>
  <si>
    <t xml:space="preserve">Server backup vault | 22000GB; </t>
  </si>
  <si>
    <t>Object Storage</t>
  </si>
  <si>
    <t>Object Storage Service 1</t>
  </si>
  <si>
    <t>Object Storage Service</t>
  </si>
  <si>
    <t>month</t>
  </si>
  <si>
    <t xml:space="preserve">Standard | 150GB | Multi-AZ storage | Object storage | Storage Duration:12month; 0GB; 1000x 10,000 requests; 1000x 10,000 requests; 1000x 1,000 requests; 0GB; 0GB; </t>
  </si>
  <si>
    <t>Object Storage Service 2</t>
  </si>
  <si>
    <t xml:space="preserve">Infrequent Access | 750GB | Multi-AZ storage | Object storage | Storage Duration:12month; 100GB; Urgent: 1-5 minutes | 0GB; 1000x 1,000 requests; 1000x 1,000 requests; 1000x 1,000 requests; 4x 10,000 requests; 0GB; 0GB; </t>
  </si>
  <si>
    <t>Connectivity</t>
  </si>
  <si>
    <t>Virtual Private Network 1</t>
  </si>
  <si>
    <t>Virtual Private Network</t>
  </si>
  <si>
    <t>Hours</t>
  </si>
  <si>
    <t xml:space="preserve">Professional 1 | 1PCSVPN Connection Groups; Traffic | 1GB; Traffic | 1GB; </t>
  </si>
  <si>
    <t>Elastic IP 1</t>
  </si>
  <si>
    <t>Elastic IP</t>
  </si>
  <si>
    <t xml:space="preserve">Dedicated | Dynamic BGP | Traffic | 48TB; 1 ; </t>
  </si>
  <si>
    <t>Security</t>
  </si>
  <si>
    <t>Host Security Service 1</t>
  </si>
  <si>
    <t>Host Security Service</t>
  </si>
  <si>
    <t>Monthly</t>
  </si>
  <si>
    <t xml:space="preserve">Premium; </t>
  </si>
  <si>
    <t>Support Plan</t>
  </si>
  <si>
    <t>Support Plans 1</t>
  </si>
  <si>
    <t>Support Plans</t>
  </si>
  <si>
    <t xml:space="preserve">Business | 4400USD/month; </t>
  </si>
  <si>
    <t>Total Price</t>
  </si>
  <si>
    <t>The preceding price is for reference only and may vary from the final price in your bill</t>
  </si>
  <si>
    <t>Monthly Price</t>
    <phoneticPr fontId="0" type="noConversion"/>
  </si>
  <si>
    <t xml:space="preserve">x86 | General computing | x0.8u.32g | 8 vCPUs | 32GiB; Ubuntu | Ubuntu 22.04 server 64bit; General Purpose SSD | 128GB; General Purpose SSD | 3122GB; </t>
  </si>
  <si>
    <t xml:space="preserve">Server backup vault | 12000GB; </t>
  </si>
  <si>
    <t xml:space="preserve">Dedicated | Dynamic BGP | Traffic | 24TB; 1 ; </t>
  </si>
  <si>
    <t xml:space="preserve">Business | 1300USD/month;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</si>
</sst>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###"/>
  </numFmts>
  <fonts count="2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8"/>
      <name val="Aptos Narrow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10"/>
      <name val="Arial"/>
      <family val="2"/>
    </font>
    <font>
      <sz val="16"/>
      <name val="Arial Black"/>
      <family val="2"/>
    </font>
    <font>
      <sz val="14"/>
      <color rgb="FFFFFFF0"/>
      <name val="微软雅黑"/>
    </font>
    <font>
      <sz val="12"/>
      <name val="微软雅黑"/>
    </font>
    <font>
      <sz val="14"/>
      <name val="Arial"/>
      <family val="2"/>
    </font>
    <font>
      <sz val="12"/>
      <color rgb="FFCD2626"/>
      <name val="微软雅黑"/>
    </font>
    <font>
      <sz val="12"/>
      <color rgb="FF8F8F8F"/>
      <name val="微软雅黑"/>
    </font>
  </fonts>
  <fills count="12">
    <fill>
      <patternFill patternType="none"/>
    </fill>
    <fill>
      <patternFill patternType="gray125"/>
    </fill>
    <fill>
      <patternFill patternType="solid">
        <fgColor rgb="FF42C4CE"/>
        <bgColor rgb="FF42C4CE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4" fillId="0" borderId="0">
      <alignment vertical="center"/>
    </xf>
    <xf numFmtId="0" fontId="1" fillId="0" borderId="0"/>
    <xf numFmtId="0" fontId="1" fillId="0" borderId="0"/>
    <xf numFmtId="44" fontId="14" fillId="0" borderId="0" applyFont="0" applyFill="0" applyBorder="0" applyAlignment="0" applyProtection="0">
      <alignment vertical="center"/>
    </xf>
  </cellStyleXfs>
  <cellXfs count="82">
    <xf numFmtId="0" fontId="0" fillId="0" borderId="0" xfId="0" applyFont="1" applyAlignment="1"/>
    <xf numFmtId="9" fontId="2" fillId="0" borderId="0" xfId="0" applyNumberFormat="1" applyFont="1"/>
    <xf numFmtId="14" fontId="5" fillId="2" borderId="8" xfId="0" applyNumberFormat="1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5" fillId="2" borderId="8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9" fontId="6" fillId="3" borderId="13" xfId="0" applyNumberFormat="1" applyFont="1" applyFill="1" applyBorder="1" applyAlignment="1">
      <alignment horizontal="left" wrapText="1"/>
    </xf>
    <xf numFmtId="0" fontId="6" fillId="3" borderId="15" xfId="0" applyFont="1" applyFill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0" borderId="17" xfId="0" applyFont="1" applyBorder="1" applyAlignment="1">
      <alignment horizontal="left" wrapText="1"/>
    </xf>
    <xf numFmtId="9" fontId="6" fillId="3" borderId="13" xfId="0" applyNumberFormat="1" applyFont="1" applyFill="1" applyBorder="1" applyAlignment="1">
      <alignment horizontal="left" wrapText="1"/>
    </xf>
    <xf numFmtId="14" fontId="7" fillId="0" borderId="18" xfId="0" applyNumberFormat="1" applyFont="1" applyBorder="1" applyAlignment="1">
      <alignment horizontal="left" wrapText="1"/>
    </xf>
    <xf numFmtId="0" fontId="7" fillId="0" borderId="19" xfId="0" applyFont="1" applyBorder="1" applyAlignment="1">
      <alignment horizontal="left" wrapText="1"/>
    </xf>
    <xf numFmtId="14" fontId="6" fillId="3" borderId="14" xfId="0" applyNumberFormat="1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2" fillId="0" borderId="20" xfId="0" applyFont="1" applyBorder="1" applyAlignment="1">
      <alignment horizontal="left" wrapText="1"/>
    </xf>
    <xf numFmtId="0" fontId="2" fillId="0" borderId="21" xfId="0" applyFont="1" applyBorder="1" applyAlignment="1">
      <alignment horizontal="left" wrapText="1"/>
    </xf>
    <xf numFmtId="9" fontId="8" fillId="0" borderId="0" xfId="0" applyNumberFormat="1" applyFont="1" applyAlignment="1">
      <alignment horizontal="left"/>
    </xf>
    <xf numFmtId="0" fontId="9" fillId="0" borderId="19" xfId="0" applyFont="1" applyBorder="1" applyAlignment="1">
      <alignment horizontal="left" wrapText="1"/>
    </xf>
    <xf numFmtId="14" fontId="7" fillId="0" borderId="0" xfId="0" applyNumberFormat="1" applyFont="1" applyBorder="1" applyAlignment="1">
      <alignment horizontal="left" wrapText="1"/>
    </xf>
    <xf numFmtId="0" fontId="10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4" fillId="2" borderId="2" xfId="0" applyFont="1" applyFill="1" applyBorder="1" applyAlignment="1">
      <alignment horizontal="left" wrapText="1"/>
    </xf>
    <xf numFmtId="0" fontId="3" fillId="0" borderId="3" xfId="0" applyFont="1" applyBorder="1"/>
    <xf numFmtId="0" fontId="3" fillId="0" borderId="4" xfId="0" applyFont="1" applyBorder="1"/>
    <xf numFmtId="0" fontId="5" fillId="2" borderId="5" xfId="0" applyFont="1" applyFill="1" applyBorder="1" applyAlignment="1">
      <alignment horizontal="left" wrapText="1"/>
    </xf>
    <xf numFmtId="0" fontId="3" fillId="0" borderId="6" xfId="0" applyFont="1" applyBorder="1"/>
    <xf numFmtId="0" fontId="3" fillId="0" borderId="7" xfId="0" applyFont="1" applyBorder="1"/>
    <xf numFmtId="0" fontId="5" fillId="2" borderId="9" xfId="0" applyFont="1" applyFill="1" applyBorder="1" applyAlignment="1">
      <alignment horizontal="left" vertical="center" wrapText="1"/>
    </xf>
    <xf numFmtId="0" fontId="3" fillId="0" borderId="11" xfId="0" applyFont="1" applyBorder="1"/>
    <xf numFmtId="0" fontId="12" fillId="0" borderId="22" xfId="1" applyFont="1" applyBorder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" fillId="0" borderId="0" xfId="1"/>
    <xf numFmtId="0" fontId="12" fillId="0" borderId="22" xfId="1" applyFont="1" applyBorder="1" applyAlignment="1">
      <alignment horizontal="center" vertical="center" wrapText="1"/>
    </xf>
    <xf numFmtId="0" fontId="12" fillId="0" borderId="22" xfId="1" applyFont="1" applyBorder="1" applyAlignment="1">
      <alignment horizontal="center" vertical="center"/>
    </xf>
    <xf numFmtId="0" fontId="1" fillId="0" borderId="23" xfId="1" applyBorder="1" applyAlignment="1">
      <alignment horizontal="center"/>
    </xf>
    <xf numFmtId="0" fontId="1" fillId="4" borderId="22" xfId="1" applyFill="1" applyBorder="1" applyAlignment="1">
      <alignment horizontal="center"/>
    </xf>
    <xf numFmtId="0" fontId="1" fillId="4" borderId="22" xfId="1" applyFill="1" applyBorder="1" applyAlignment="1">
      <alignment horizontal="left"/>
    </xf>
    <xf numFmtId="0" fontId="1" fillId="5" borderId="22" xfId="1" applyFill="1" applyBorder="1" applyAlignment="1">
      <alignment horizontal="left"/>
    </xf>
    <xf numFmtId="0" fontId="1" fillId="6" borderId="22" xfId="1" applyFill="1" applyBorder="1" applyAlignment="1">
      <alignment horizontal="left"/>
    </xf>
    <xf numFmtId="0" fontId="1" fillId="6" borderId="22" xfId="1" applyFill="1" applyBorder="1" applyAlignment="1">
      <alignment horizontal="center"/>
    </xf>
    <xf numFmtId="0" fontId="1" fillId="7" borderId="22" xfId="1" applyFill="1" applyBorder="1" applyAlignment="1">
      <alignment horizontal="center"/>
    </xf>
    <xf numFmtId="0" fontId="1" fillId="7" borderId="24" xfId="1" applyFill="1" applyBorder="1" applyAlignment="1">
      <alignment horizontal="center"/>
    </xf>
    <xf numFmtId="0" fontId="1" fillId="7" borderId="25" xfId="1" applyFill="1" applyBorder="1" applyAlignment="1">
      <alignment horizontal="center"/>
    </xf>
    <xf numFmtId="0" fontId="1" fillId="7" borderId="0" xfId="1" applyFill="1"/>
    <xf numFmtId="0" fontId="1" fillId="7" borderId="0" xfId="1" applyFill="1" applyAlignment="1">
      <alignment horizontal="center"/>
    </xf>
    <xf numFmtId="0" fontId="1" fillId="0" borderId="26" xfId="2" applyBorder="1"/>
    <xf numFmtId="0" fontId="1" fillId="0" borderId="0" xfId="2"/>
    <xf numFmtId="0" fontId="15" fillId="0" borderId="0" xfId="3" applyFont="1" applyAlignment="1">
      <alignment horizontal="center" vertical="center" wrapText="1"/>
    </xf>
    <xf numFmtId="0" fontId="16" fillId="8" borderId="27" xfId="2" applyFont="1" applyFill="1" applyBorder="1" applyAlignment="1">
      <alignment horizontal="center" vertical="center" wrapText="1"/>
    </xf>
    <xf numFmtId="0" fontId="16" fillId="8" borderId="28" xfId="2" applyFont="1" applyFill="1" applyBorder="1" applyAlignment="1">
      <alignment horizontal="center" vertical="center" wrapText="1"/>
    </xf>
    <xf numFmtId="0" fontId="16" fillId="8" borderId="29" xfId="2" applyFont="1" applyFill="1" applyBorder="1" applyAlignment="1">
      <alignment horizontal="center" vertical="center" wrapText="1"/>
    </xf>
    <xf numFmtId="0" fontId="16" fillId="0" borderId="0" xfId="2" applyFont="1"/>
    <xf numFmtId="0" fontId="17" fillId="9" borderId="30" xfId="2" applyFont="1" applyFill="1" applyBorder="1" applyAlignment="1">
      <alignment horizontal="left" vertical="center" wrapText="1"/>
    </xf>
    <xf numFmtId="0" fontId="17" fillId="9" borderId="0" xfId="2" applyFont="1" applyFill="1" applyAlignment="1">
      <alignment horizontal="left" vertical="center" wrapText="1"/>
    </xf>
    <xf numFmtId="0" fontId="17" fillId="9" borderId="0" xfId="2" applyFont="1" applyFill="1" applyAlignment="1">
      <alignment horizontal="right" vertical="center" wrapText="1"/>
    </xf>
    <xf numFmtId="0" fontId="17" fillId="9" borderId="31" xfId="2" applyFont="1" applyFill="1" applyBorder="1" applyAlignment="1">
      <alignment horizontal="right" vertical="center" wrapText="1"/>
    </xf>
    <xf numFmtId="0" fontId="17" fillId="0" borderId="0" xfId="2" applyFont="1"/>
    <xf numFmtId="0" fontId="18" fillId="0" borderId="32" xfId="3" applyFont="1" applyBorder="1" applyAlignment="1">
      <alignment horizontal="center" vertical="center" wrapText="1"/>
    </xf>
    <xf numFmtId="0" fontId="17" fillId="0" borderId="33" xfId="2" applyFont="1" applyBorder="1" applyAlignment="1">
      <alignment horizontal="left" vertical="center" wrapText="1"/>
    </xf>
    <xf numFmtId="0" fontId="17" fillId="0" borderId="34" xfId="2" applyFont="1" applyBorder="1" applyAlignment="1">
      <alignment horizontal="left" vertical="center" wrapText="1"/>
    </xf>
    <xf numFmtId="164" fontId="17" fillId="0" borderId="0" xfId="2" applyNumberFormat="1" applyFont="1" applyAlignment="1">
      <alignment horizontal="right" vertical="center" wrapText="1"/>
    </xf>
    <xf numFmtId="4" fontId="19" fillId="0" borderId="31" xfId="2" applyNumberFormat="1" applyFont="1" applyBorder="1" applyAlignment="1">
      <alignment horizontal="right" vertical="center" wrapText="1"/>
    </xf>
    <xf numFmtId="0" fontId="17" fillId="10" borderId="33" xfId="2" applyFont="1" applyFill="1" applyBorder="1" applyAlignment="1">
      <alignment horizontal="left" vertical="center" wrapText="1"/>
    </xf>
    <xf numFmtId="0" fontId="17" fillId="10" borderId="34" xfId="2" applyFont="1" applyFill="1" applyBorder="1" applyAlignment="1">
      <alignment horizontal="left" vertical="center" wrapText="1"/>
    </xf>
    <xf numFmtId="164" fontId="17" fillId="10" borderId="0" xfId="2" applyNumberFormat="1" applyFont="1" applyFill="1" applyAlignment="1">
      <alignment horizontal="right" vertical="center" wrapText="1"/>
    </xf>
    <xf numFmtId="4" fontId="19" fillId="10" borderId="31" xfId="2" applyNumberFormat="1" applyFont="1" applyFill="1" applyBorder="1" applyAlignment="1">
      <alignment horizontal="right" vertical="center" wrapText="1"/>
    </xf>
    <xf numFmtId="0" fontId="18" fillId="0" borderId="32" xfId="3" applyFont="1" applyBorder="1" applyAlignment="1">
      <alignment horizontal="center" vertical="center" wrapText="1"/>
    </xf>
    <xf numFmtId="0" fontId="17" fillId="9" borderId="35" xfId="2" applyFont="1" applyFill="1" applyBorder="1" applyAlignment="1">
      <alignment horizontal="center" vertical="center" wrapText="1"/>
    </xf>
    <xf numFmtId="0" fontId="17" fillId="9" borderId="36" xfId="2" applyFont="1" applyFill="1" applyBorder="1" applyAlignment="1">
      <alignment horizontal="center" vertical="center" wrapText="1"/>
    </xf>
    <xf numFmtId="4" fontId="17" fillId="9" borderId="36" xfId="2" applyNumberFormat="1" applyFont="1" applyFill="1" applyBorder="1" applyAlignment="1">
      <alignment horizontal="right" vertical="center" wrapText="1"/>
    </xf>
    <xf numFmtId="4" fontId="19" fillId="9" borderId="37" xfId="2" applyNumberFormat="1" applyFont="1" applyFill="1" applyBorder="1" applyAlignment="1">
      <alignment horizontal="right" vertical="center" wrapText="1"/>
    </xf>
    <xf numFmtId="0" fontId="20" fillId="0" borderId="28" xfId="4" applyFont="1" applyBorder="1" applyAlignment="1">
      <alignment horizontal="left" vertical="center" wrapText="1"/>
    </xf>
    <xf numFmtId="0" fontId="20" fillId="0" borderId="0" xfId="4" applyFont="1" applyAlignment="1">
      <alignment horizontal="left" vertical="center" wrapText="1"/>
    </xf>
    <xf numFmtId="0" fontId="12" fillId="11" borderId="22" xfId="5" applyFont="1" applyFill="1" applyBorder="1"/>
    <xf numFmtId="44" fontId="1" fillId="0" borderId="22" xfId="6" applyFont="1" applyFill="1" applyBorder="1" applyAlignment="1"/>
    <xf numFmtId="44" fontId="1" fillId="0" borderId="0" xfId="6" applyFont="1" applyFill="1" applyBorder="1" applyAlignment="1"/>
    <xf numFmtId="0" fontId="17" fillId="0" borderId="34" xfId="3" applyFont="1" applyBorder="1" applyAlignment="1">
      <alignment horizontal="left" vertical="center" wrapText="1"/>
    </xf>
    <xf numFmtId="164" fontId="17" fillId="0" borderId="0" xfId="3" applyNumberFormat="1" applyFont="1" applyAlignment="1">
      <alignment horizontal="right" vertical="center" wrapText="1"/>
    </xf>
  </cellXfs>
  <cellStyles count="7">
    <cellStyle name="Currency 2" xfId="6" xr:uid="{F994B175-7E97-4046-B1EA-BBEBD4A663F6}"/>
    <cellStyle name="Normal" xfId="0" builtinId="0"/>
    <cellStyle name="Normal 11" xfId="2" xr:uid="{E33F1DEE-B1ED-46FA-8EA1-7ACEB7102DDE}"/>
    <cellStyle name="Normal 2" xfId="1" xr:uid="{AAFCC4EE-FE82-457C-9330-481C80B6E9D3}"/>
    <cellStyle name="Normal 3" xfId="3" xr:uid="{DA388993-A657-4A2C-A5D9-1717F6F543E3}"/>
    <cellStyle name="Normal 3 2" xfId="5" xr:uid="{66ED8EB2-9CA0-4EE3-9394-E8F993655FF6}"/>
    <cellStyle name="Normal 9" xfId="4" xr:uid="{2CA32AB9-BE1F-4ABF-B27A-20D77EFA5EE0}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631372</xdr:colOff>
      <xdr:row>0</xdr:row>
      <xdr:rowOff>163286</xdr:rowOff>
    </xdr:from>
    <xdr:to>
      <xdr:col>12</xdr:col>
      <xdr:colOff>566058</xdr:colOff>
      <xdr:row>23</xdr:row>
      <xdr:rowOff>173093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2BA4B9-DCCE-16B9-4341-98A7C928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1372" y="163286"/>
          <a:ext cx="7772400" cy="42661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484415</xdr:colOff>
      <xdr:row>0</xdr:row>
      <xdr:rowOff>96157</xdr:rowOff>
    </xdr:from>
    <xdr:to>
      <xdr:col>0</xdr:col>
      <xdr:colOff>2348815</xdr:colOff>
      <xdr:row>2</xdr:row>
      <xdr:rowOff>68216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F11089A-5CAC-4855-870E-AA3C669C5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415" y="96157"/>
          <a:ext cx="1864400" cy="34217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1140882</xdr:colOff>
      <xdr:row>2</xdr:row>
      <xdr:rowOff>55034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31B9061-EDB9-42B8-89CF-EF5E0541DA62}"/>
            </a:ext>
          </a:extLst>
        </xdr:cNvPr>
        <xdr:cNvSpPr>
          <a:spLocks noChangeArrowheads="1"/>
        </xdr:cNvSpPr>
      </xdr:nvSpPr>
      <xdr:spPr bwMode="auto">
        <a:xfrm>
          <a:off x="19284043" y="185057"/>
          <a:ext cx="2251225" cy="240091"/>
        </a:xfrm>
        <a:prstGeom prst="rect">
          <a:avLst/>
        </a:prstGeom>
        <a:noFill/>
        <a:ln w="12700">
          <a:noFill/>
          <a:prstDash val="dash"/>
          <a:miter lim="800000"/>
          <a:headEnd/>
          <a:tailEnd/>
        </a:ln>
        <a:effectLst/>
      </xdr:spPr>
      <xdr:txBody>
        <a:bodyPr vert="horz" wrap="square" lIns="0" tIns="0" rIns="0" bIns="63432" numCol="1" anchor="ctr" anchorCtr="0" compatLnSpc="1">
          <a:prstTxWarp prst="textNoShape">
            <a:avLst/>
          </a:prstTxWarp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2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微软雅黑"/>
            </a:rPr>
            <a:t>Huawei Confidential</a:t>
          </a:r>
          <a:endParaRPr kumimoji="0" lang="zh-TW" altLang="zh-TW" sz="1200" b="0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微软雅黑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484415</xdr:colOff>
      <xdr:row>0</xdr:row>
      <xdr:rowOff>96157</xdr:rowOff>
    </xdr:from>
    <xdr:to>
      <xdr:col>0</xdr:col>
      <xdr:colOff>2348815</xdr:colOff>
      <xdr:row>2</xdr:row>
      <xdr:rowOff>68216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86D6E16-EB9B-43D8-88EF-53A5590B1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4415" y="96157"/>
          <a:ext cx="1864400" cy="34217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</xdr:row>
      <xdr:rowOff>0</xdr:rowOff>
    </xdr:from>
    <xdr:to>
      <xdr:col>12</xdr:col>
      <xdr:colOff>1140882</xdr:colOff>
      <xdr:row>2</xdr:row>
      <xdr:rowOff>55034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D92A9C7-6F39-48FE-BB69-B452A33A4258}"/>
            </a:ext>
          </a:extLst>
        </xdr:cNvPr>
        <xdr:cNvSpPr>
          <a:spLocks noChangeArrowheads="1"/>
        </xdr:cNvSpPr>
      </xdr:nvSpPr>
      <xdr:spPr bwMode="auto">
        <a:xfrm>
          <a:off x="19284043" y="185057"/>
          <a:ext cx="2251225" cy="240091"/>
        </a:xfrm>
        <a:prstGeom prst="rect">
          <a:avLst/>
        </a:prstGeom>
        <a:noFill/>
        <a:ln w="12700">
          <a:noFill/>
          <a:prstDash val="dash"/>
          <a:miter lim="800000"/>
          <a:headEnd/>
          <a:tailEnd/>
        </a:ln>
        <a:effectLst/>
      </xdr:spPr>
      <xdr:txBody>
        <a:bodyPr vert="horz" wrap="square" lIns="0" tIns="0" rIns="0" bIns="63432" numCol="1" anchor="ctr" anchorCtr="0" compatLnSpc="1">
          <a:prstTxWarp prst="textNoShape">
            <a:avLst/>
          </a:prstTxWarp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0" fontAlgn="base" latinLnBrk="0" hangingPunct="0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kumimoji="0" lang="en-US" altLang="zh-TW" sz="1200" b="0" i="0" u="none" strike="noStrike" kern="0" cap="none" spc="0" normalizeH="0" baseline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微软雅黑"/>
            </a:rPr>
            <a:t>Huawei Confidential</a:t>
          </a:r>
          <a:endParaRPr kumimoji="0" lang="zh-TW" altLang="zh-TW" sz="1200" b="0" i="0" u="none" strike="noStrike" kern="0" cap="none" spc="0" normalizeH="0" baseline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微软雅黑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4434264\Desktop\Cloud\Projects\DR\Public%20Cloud\Gesnett-UCE\Delivery\Project%20Plan\HUAWEI%20CLOUD%20Quotation%20for%20UCE%20Migration%20Project_%20C&amp;C%20v3.0.xlsx" TargetMode="External"/><Relationship Id="rId1" Type="http://schemas.openxmlformats.org/officeDocument/2006/relationships/externalLinkPath" Target="HUAWEI%20CLOUD%20Quotation%20for%20UCE%20Migration%20Project_%20C&amp;C%20v3.0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84434264\Desktop\Cloud\Projects\DR\Public%20Cloud\Gesnett-UCE\Delivery\Project%20Plan\HUAWEI%20CLOUD%20Quotation%20for%20UCE%20Migration%20Project_%20C&amp;C%20v3.0%20-%20Migration.xlsx" TargetMode="External"/><Relationship Id="rId1" Type="http://schemas.openxmlformats.org/officeDocument/2006/relationships/externalLinkPath" Target="HUAWEI%20CLOUD%20Quotation%20for%20UCE%20Migration%20Project_%20C&amp;C%20v3.0%20-%20Mig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ount"/>
      <sheetName val="Cover"/>
      <sheetName val="Disclaimer"/>
      <sheetName val="Solution Introduction"/>
      <sheetName val="Price Calculator Summary"/>
      <sheetName val="Compute"/>
      <sheetName val="Storage"/>
      <sheetName val="Connectivity"/>
      <sheetName val="Security"/>
      <sheetName val="Support"/>
      <sheetName val="Whole Infra Quotation"/>
      <sheetName val="tmp_v"/>
    </sheetNames>
    <sheetDataSet>
      <sheetData sheetId="0">
        <row r="13">
          <cell r="E1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scount"/>
      <sheetName val="Cover"/>
      <sheetName val="Disclaimer"/>
      <sheetName val="Solution Introduction"/>
      <sheetName val="Price Calculator Summary"/>
      <sheetName val="Compute"/>
      <sheetName val="Storage"/>
      <sheetName val="Connectivity"/>
      <sheetName val="Security"/>
      <sheetName val="Support"/>
      <sheetName val="tmp_v"/>
    </sheetNames>
    <sheetDataSet>
      <sheetData sheetId="0">
        <row r="13">
          <cell r="E13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5"/>
  <sheetViews>
    <sheetView showGridLines="0" tabSelected="1" topLeftCell="B1" zoomScaleNormal="100" workbookViewId="0">
      <selection activeCell="C25" sqref="C25"/>
    </sheetView>
  </sheetViews>
  <sheetFormatPr defaultColWidth="12.61328125" defaultRowHeight="15" customHeight="1"/>
  <cols>
    <col min="1" max="2" width="8.765625" customWidth="1"/>
    <col min="3" max="3" width="6.84375" customWidth="1"/>
    <col min="4" max="4" width="62.07421875" customWidth="1"/>
    <col min="5" max="5" width="9.3046875" customWidth="1"/>
    <col min="6" max="7" width="13.07421875" customWidth="1"/>
    <col min="8" max="8" width="39.61328125" customWidth="1"/>
    <col min="9" max="26" width="8.613281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51" customHeight="1">
      <c r="A3" s="1"/>
      <c r="B3" s="1"/>
      <c r="C3" s="23" t="s">
        <v>28</v>
      </c>
      <c r="D3" s="24"/>
      <c r="E3" s="24"/>
      <c r="F3" s="24"/>
      <c r="G3" s="24"/>
      <c r="H3" s="2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25" t="s">
        <v>34</v>
      </c>
      <c r="D4" s="26"/>
      <c r="E4" s="26"/>
      <c r="F4" s="26"/>
      <c r="G4" s="26"/>
      <c r="H4" s="2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1"/>
      <c r="C5" s="28" t="str">
        <f>"Progreso general: "&amp; ROUND(AVERAGE(E7,E11,E16,E19,E23)*100,0) &amp; "%"</f>
        <v>Progreso general: 0%</v>
      </c>
      <c r="D5" s="29"/>
      <c r="E5" s="30"/>
      <c r="F5" s="2">
        <f>F7</f>
        <v>46104</v>
      </c>
      <c r="G5" s="2">
        <f>G23</f>
        <v>45750</v>
      </c>
      <c r="H5" s="31" t="s">
        <v>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thickBot="1">
      <c r="A6" s="1"/>
      <c r="B6" s="1"/>
      <c r="C6" s="3" t="s">
        <v>1</v>
      </c>
      <c r="D6" s="4" t="s">
        <v>2</v>
      </c>
      <c r="E6" s="4" t="s">
        <v>3</v>
      </c>
      <c r="F6" s="4" t="s">
        <v>4</v>
      </c>
      <c r="G6" s="4" t="s">
        <v>5</v>
      </c>
      <c r="H6" s="3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05" customHeight="1" thickBot="1">
      <c r="A7" s="1"/>
      <c r="B7" s="1"/>
      <c r="C7" s="5" t="s">
        <v>6</v>
      </c>
      <c r="D7" s="6" t="s">
        <v>7</v>
      </c>
      <c r="E7" s="7">
        <f>AVERAGE(E8:E10)</f>
        <v>0</v>
      </c>
      <c r="F7" s="14">
        <f>F8</f>
        <v>46104</v>
      </c>
      <c r="G7" s="14">
        <f>G10</f>
        <v>45740</v>
      </c>
      <c r="H7" s="8" t="s">
        <v>8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05" customHeight="1" thickBot="1">
      <c r="A8" s="1"/>
      <c r="B8" s="1"/>
      <c r="C8" s="9" t="s">
        <v>9</v>
      </c>
      <c r="D8" s="10" t="s">
        <v>10</v>
      </c>
      <c r="E8" s="7">
        <v>0</v>
      </c>
      <c r="F8" s="12">
        <v>46104</v>
      </c>
      <c r="G8" s="12">
        <v>46104</v>
      </c>
      <c r="H8" s="13" t="s">
        <v>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thickBot="1">
      <c r="A9" s="1"/>
      <c r="B9" s="1"/>
      <c r="C9" s="9">
        <v>1.2</v>
      </c>
      <c r="D9" s="17" t="s">
        <v>24</v>
      </c>
      <c r="E9" s="7">
        <v>0</v>
      </c>
      <c r="F9" s="12">
        <v>46104</v>
      </c>
      <c r="G9" s="12">
        <v>46104</v>
      </c>
      <c r="H9" s="13" t="s">
        <v>23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thickBot="1">
      <c r="A10" s="1"/>
      <c r="B10" s="1"/>
      <c r="C10" s="16">
        <v>1.3</v>
      </c>
      <c r="D10" s="10" t="s">
        <v>11</v>
      </c>
      <c r="E10" s="7">
        <v>0</v>
      </c>
      <c r="F10" s="12">
        <v>45740</v>
      </c>
      <c r="G10" s="12">
        <v>45740</v>
      </c>
      <c r="H10" s="21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thickBot="1">
      <c r="A11" s="1"/>
      <c r="B11" s="1"/>
      <c r="C11" s="5" t="s">
        <v>12</v>
      </c>
      <c r="D11" s="6" t="s">
        <v>29</v>
      </c>
      <c r="E11" s="11">
        <f>AVERAGE(E12:E14)</f>
        <v>0</v>
      </c>
      <c r="F11" s="14">
        <f>F12</f>
        <v>45742</v>
      </c>
      <c r="G11" s="14">
        <f>G14</f>
        <v>45743</v>
      </c>
      <c r="H11" s="8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thickBot="1">
      <c r="A12" s="1"/>
      <c r="B12" s="1"/>
      <c r="C12" s="9" t="s">
        <v>13</v>
      </c>
      <c r="D12" s="10" t="s">
        <v>14</v>
      </c>
      <c r="E12" s="11">
        <v>0</v>
      </c>
      <c r="F12" s="12">
        <v>45742</v>
      </c>
      <c r="G12" s="12">
        <v>45742</v>
      </c>
      <c r="H12" s="19" t="s">
        <v>22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thickBot="1">
      <c r="A13" s="1"/>
      <c r="B13" s="1"/>
      <c r="C13" s="9">
        <v>2.2000000000000002</v>
      </c>
      <c r="D13" s="10" t="s">
        <v>15</v>
      </c>
      <c r="E13" s="11">
        <v>0</v>
      </c>
      <c r="F13" s="12">
        <v>45742</v>
      </c>
      <c r="G13" s="12">
        <v>45742</v>
      </c>
      <c r="H13" s="19" t="s">
        <v>22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thickBot="1">
      <c r="A14" s="1"/>
      <c r="B14" s="1"/>
      <c r="C14" s="16">
        <v>2.2999999999999998</v>
      </c>
      <c r="D14" s="18" t="s">
        <v>19</v>
      </c>
      <c r="E14" s="11">
        <v>0</v>
      </c>
      <c r="F14" s="12">
        <v>45742</v>
      </c>
      <c r="G14" s="12">
        <v>45743</v>
      </c>
      <c r="H14" s="19" t="s">
        <v>22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thickBot="1">
      <c r="A15" s="1"/>
      <c r="B15" s="1"/>
      <c r="C15" s="16">
        <v>2.4</v>
      </c>
      <c r="D15" s="18" t="s">
        <v>25</v>
      </c>
      <c r="E15" s="11">
        <v>0</v>
      </c>
      <c r="F15" s="12">
        <v>45742</v>
      </c>
      <c r="G15" s="12">
        <v>45743</v>
      </c>
      <c r="H15" s="19" t="s">
        <v>23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75" customHeight="1" thickBot="1">
      <c r="A16" s="1"/>
      <c r="B16" s="1"/>
      <c r="C16" s="5">
        <v>3</v>
      </c>
      <c r="D16" s="6" t="s">
        <v>30</v>
      </c>
      <c r="E16" s="11">
        <f>AVERAGE(E17:E17)</f>
        <v>0</v>
      </c>
      <c r="F16" s="14">
        <f>F17</f>
        <v>45746</v>
      </c>
      <c r="G16" s="14">
        <f>G17</f>
        <v>45749</v>
      </c>
      <c r="H16" s="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15" customHeight="1" thickBot="1">
      <c r="A17" s="1"/>
      <c r="B17" s="1"/>
      <c r="C17" s="9">
        <v>3.1</v>
      </c>
      <c r="D17" s="17" t="s">
        <v>26</v>
      </c>
      <c r="E17" s="11">
        <v>0</v>
      </c>
      <c r="F17" s="12">
        <v>45746</v>
      </c>
      <c r="G17" s="12">
        <v>45749</v>
      </c>
      <c r="H17" s="13" t="s">
        <v>23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thickBot="1">
      <c r="A18" s="1"/>
      <c r="B18" s="1"/>
      <c r="C18" s="16">
        <v>3.2</v>
      </c>
      <c r="D18" s="17" t="s">
        <v>27</v>
      </c>
      <c r="E18" s="11">
        <v>0</v>
      </c>
      <c r="F18" s="12">
        <v>45749</v>
      </c>
      <c r="G18" s="12">
        <v>45749</v>
      </c>
      <c r="H18" s="13" t="s">
        <v>23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thickBot="1">
      <c r="A19" s="1"/>
      <c r="B19" s="1"/>
      <c r="C19" s="5">
        <v>4</v>
      </c>
      <c r="D19" s="6" t="s">
        <v>31</v>
      </c>
      <c r="E19" s="11">
        <v>0</v>
      </c>
      <c r="F19" s="14">
        <f>F20</f>
        <v>45748</v>
      </c>
      <c r="G19" s="14">
        <f>G22</f>
        <v>45750</v>
      </c>
      <c r="H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thickBot="1">
      <c r="A20" s="1"/>
      <c r="B20" s="1"/>
      <c r="C20" s="9">
        <v>4.0999999999999996</v>
      </c>
      <c r="D20" s="17" t="s">
        <v>16</v>
      </c>
      <c r="E20" s="11">
        <v>0</v>
      </c>
      <c r="F20" s="12">
        <v>45748</v>
      </c>
      <c r="G20" s="12">
        <v>45749</v>
      </c>
      <c r="H20" s="21" t="s">
        <v>21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thickBot="1">
      <c r="A21" s="1"/>
      <c r="B21" s="1"/>
      <c r="C21" s="16">
        <v>4.2</v>
      </c>
      <c r="D21" s="10" t="s">
        <v>17</v>
      </c>
      <c r="E21" s="11">
        <v>0</v>
      </c>
      <c r="F21" s="12">
        <v>45750</v>
      </c>
      <c r="G21" s="12">
        <v>45750</v>
      </c>
      <c r="H21" s="13" t="s">
        <v>23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thickBot="1">
      <c r="A22" s="1"/>
      <c r="B22" s="1"/>
      <c r="C22" s="16">
        <v>4.3</v>
      </c>
      <c r="D22" s="10" t="s">
        <v>18</v>
      </c>
      <c r="E22" s="11">
        <v>0</v>
      </c>
      <c r="F22" s="12">
        <v>45750</v>
      </c>
      <c r="G22" s="12">
        <v>45750</v>
      </c>
      <c r="H22" s="13" t="s">
        <v>23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thickBot="1">
      <c r="A23" s="1"/>
      <c r="B23" s="1"/>
      <c r="C23" s="5">
        <v>5</v>
      </c>
      <c r="D23" s="15" t="s">
        <v>32</v>
      </c>
      <c r="E23" s="11">
        <v>0</v>
      </c>
      <c r="F23" s="14">
        <f>F24</f>
        <v>45750</v>
      </c>
      <c r="G23" s="14">
        <f>G24</f>
        <v>45750</v>
      </c>
      <c r="H23" s="8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9">
        <v>5.0999999999999996</v>
      </c>
      <c r="D24" s="17" t="s">
        <v>33</v>
      </c>
      <c r="E24" s="11">
        <v>0</v>
      </c>
      <c r="F24" s="12">
        <v>45750</v>
      </c>
      <c r="G24" s="12">
        <v>45750</v>
      </c>
      <c r="H24" s="13" t="s">
        <v>23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2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20" t="s">
        <v>20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</sheetData>
  <mergeCells count="4">
    <mergeCell ref="C3:H3"/>
    <mergeCell ref="C4:H4"/>
    <mergeCell ref="C5:E5"/>
    <mergeCell ref="H5:H6"/>
  </mergeCells>
  <phoneticPr fontId="11" type="noConversion"/>
  <conditionalFormatting sqref="E7:E24">
    <cfRule type="cellIs" dxfId="1" priority="1" operator="between">
      <formula>0.01</formula>
      <formula>0.99</formula>
    </cfRule>
    <cfRule type="cellIs" dxfId="0" priority="2" operator="equal">
      <formula>1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E2979-4F48-4298-9642-17F16EED7D8C}">
  <dimension ref="A1:N39"/>
  <sheetViews>
    <sheetView zoomScale="55" zoomScaleNormal="55" workbookViewId="0">
      <selection activeCell="J27" sqref="J27"/>
    </sheetView>
  </sheetViews>
  <sheetFormatPr defaultColWidth="8.84375" defaultRowHeight="14.6"/>
  <cols>
    <col min="1" max="1" width="8.84375" style="35"/>
    <col min="2" max="2" width="34.3046875" style="35" customWidth="1"/>
    <col min="3" max="3" width="10.3046875" style="35" bestFit="1" customWidth="1"/>
    <col min="4" max="4" width="13.53515625" style="35" bestFit="1" customWidth="1"/>
    <col min="5" max="6" width="13.53515625" style="35" customWidth="1"/>
    <col min="7" max="7" width="21.69140625" style="35" bestFit="1" customWidth="1"/>
    <col min="8" max="8" width="17.84375" style="35" bestFit="1" customWidth="1"/>
    <col min="9" max="9" width="17.53515625" style="35" bestFit="1" customWidth="1"/>
    <col min="10" max="10" width="41" style="35" bestFit="1" customWidth="1"/>
    <col min="11" max="11" width="23.69140625" style="35" bestFit="1" customWidth="1"/>
    <col min="12" max="12" width="19.53515625" style="35" bestFit="1" customWidth="1"/>
    <col min="13" max="13" width="15.84375" style="35" bestFit="1" customWidth="1"/>
    <col min="14" max="14" width="26" style="35" bestFit="1" customWidth="1"/>
    <col min="15" max="16384" width="8.84375" style="35"/>
  </cols>
  <sheetData>
    <row r="1" spans="1:14">
      <c r="A1" s="33" t="s">
        <v>35</v>
      </c>
      <c r="B1" s="33"/>
      <c r="C1" s="33"/>
      <c r="D1" s="33"/>
      <c r="E1" s="34"/>
      <c r="F1" s="34"/>
    </row>
    <row r="2" spans="1:14">
      <c r="A2" s="33"/>
      <c r="B2" s="33"/>
      <c r="C2" s="33"/>
      <c r="D2" s="33"/>
      <c r="E2" s="34"/>
      <c r="F2" s="34"/>
    </row>
    <row r="3" spans="1:14" ht="57" customHeight="1">
      <c r="A3" s="36" t="s">
        <v>36</v>
      </c>
      <c r="B3" s="37" t="s">
        <v>37</v>
      </c>
      <c r="C3" s="37" t="s">
        <v>38</v>
      </c>
      <c r="D3" s="36" t="s">
        <v>39</v>
      </c>
      <c r="E3" s="36" t="s">
        <v>40</v>
      </c>
      <c r="F3" s="36" t="s">
        <v>41</v>
      </c>
      <c r="G3" s="36" t="s">
        <v>42</v>
      </c>
      <c r="H3" s="37" t="s">
        <v>43</v>
      </c>
      <c r="I3" s="37" t="s">
        <v>44</v>
      </c>
      <c r="J3" s="37" t="s">
        <v>45</v>
      </c>
      <c r="K3" s="36" t="s">
        <v>46</v>
      </c>
      <c r="L3" s="36" t="s">
        <v>47</v>
      </c>
      <c r="M3" s="36" t="s">
        <v>48</v>
      </c>
      <c r="N3" s="36" t="s">
        <v>49</v>
      </c>
    </row>
    <row r="4" spans="1:14">
      <c r="A4" s="38">
        <v>1</v>
      </c>
      <c r="B4" s="39" t="s">
        <v>50</v>
      </c>
      <c r="C4" s="44" t="s">
        <v>51</v>
      </c>
      <c r="D4" s="44" t="s">
        <v>52</v>
      </c>
      <c r="E4" s="44"/>
      <c r="F4" s="44"/>
      <c r="G4" s="44" t="s">
        <v>53</v>
      </c>
      <c r="H4" s="44" t="s">
        <v>54</v>
      </c>
      <c r="I4" s="44" t="s">
        <v>55</v>
      </c>
      <c r="J4" s="44" t="s">
        <v>56</v>
      </c>
      <c r="K4" s="44" t="s">
        <v>57</v>
      </c>
      <c r="L4" s="44" t="s">
        <v>57</v>
      </c>
      <c r="M4" s="44" t="s">
        <v>58</v>
      </c>
      <c r="N4" s="44" t="s">
        <v>59</v>
      </c>
    </row>
    <row r="5" spans="1:14">
      <c r="A5" s="38">
        <v>2</v>
      </c>
      <c r="B5" s="40" t="s">
        <v>60</v>
      </c>
      <c r="C5" s="44">
        <v>2</v>
      </c>
      <c r="D5" s="44" t="s">
        <v>61</v>
      </c>
      <c r="E5" s="44" t="s">
        <v>62</v>
      </c>
      <c r="F5" s="44" t="s">
        <v>63</v>
      </c>
      <c r="G5" s="44" t="s">
        <v>64</v>
      </c>
      <c r="H5" s="44" t="s">
        <v>65</v>
      </c>
      <c r="I5" s="44" t="s">
        <v>66</v>
      </c>
      <c r="J5" s="44" t="s">
        <v>67</v>
      </c>
      <c r="K5" s="44" t="s">
        <v>68</v>
      </c>
      <c r="L5" s="44" t="s">
        <v>69</v>
      </c>
      <c r="M5" s="44" t="s">
        <v>70</v>
      </c>
      <c r="N5" s="44" t="s">
        <v>71</v>
      </c>
    </row>
    <row r="6" spans="1:14">
      <c r="A6" s="38">
        <v>3</v>
      </c>
      <c r="B6" s="41" t="s">
        <v>72</v>
      </c>
      <c r="C6" s="44">
        <v>2</v>
      </c>
      <c r="D6" s="44" t="s">
        <v>61</v>
      </c>
      <c r="E6" s="44" t="s">
        <v>73</v>
      </c>
      <c r="F6" s="44" t="s">
        <v>63</v>
      </c>
      <c r="G6" s="44" t="s">
        <v>64</v>
      </c>
      <c r="H6" s="44" t="s">
        <v>65</v>
      </c>
      <c r="I6" s="44" t="s">
        <v>66</v>
      </c>
      <c r="J6" s="44" t="s">
        <v>74</v>
      </c>
      <c r="K6" s="44" t="s">
        <v>75</v>
      </c>
      <c r="L6" s="44" t="s">
        <v>76</v>
      </c>
      <c r="M6" s="44" t="s">
        <v>70</v>
      </c>
      <c r="N6" s="44" t="s">
        <v>71</v>
      </c>
    </row>
    <row r="7" spans="1:14">
      <c r="A7" s="38">
        <v>4</v>
      </c>
      <c r="B7" s="40" t="s">
        <v>77</v>
      </c>
      <c r="C7" s="44">
        <v>2</v>
      </c>
      <c r="D7" s="44" t="s">
        <v>61</v>
      </c>
      <c r="E7" s="44" t="s">
        <v>78</v>
      </c>
      <c r="F7" s="44" t="s">
        <v>63</v>
      </c>
      <c r="G7" s="44" t="s">
        <v>79</v>
      </c>
      <c r="H7" s="44" t="s">
        <v>65</v>
      </c>
      <c r="I7" s="44" t="s">
        <v>66</v>
      </c>
      <c r="J7" s="44" t="s">
        <v>80</v>
      </c>
      <c r="K7" s="44" t="s">
        <v>81</v>
      </c>
      <c r="L7" s="44" t="s">
        <v>82</v>
      </c>
      <c r="M7" s="44"/>
      <c r="N7" s="44" t="s">
        <v>83</v>
      </c>
    </row>
    <row r="8" spans="1:14">
      <c r="A8" s="38">
        <v>5</v>
      </c>
      <c r="B8" s="40" t="s">
        <v>84</v>
      </c>
      <c r="C8" s="44">
        <v>2</v>
      </c>
      <c r="D8" s="44" t="s">
        <v>61</v>
      </c>
      <c r="E8" s="44" t="s">
        <v>85</v>
      </c>
      <c r="F8" s="44" t="s">
        <v>63</v>
      </c>
      <c r="G8" s="44" t="s">
        <v>79</v>
      </c>
      <c r="H8" s="44" t="s">
        <v>65</v>
      </c>
      <c r="I8" s="44" t="s">
        <v>66</v>
      </c>
      <c r="J8" s="44" t="s">
        <v>86</v>
      </c>
      <c r="K8" s="44" t="s">
        <v>87</v>
      </c>
      <c r="L8" s="44" t="s">
        <v>88</v>
      </c>
      <c r="M8" s="44" t="s">
        <v>70</v>
      </c>
      <c r="N8" s="44" t="s">
        <v>89</v>
      </c>
    </row>
    <row r="9" spans="1:14">
      <c r="A9" s="38">
        <v>6</v>
      </c>
      <c r="B9" s="40" t="s">
        <v>90</v>
      </c>
      <c r="C9" s="44">
        <v>2</v>
      </c>
      <c r="D9" s="44" t="s">
        <v>61</v>
      </c>
      <c r="E9" s="44" t="s">
        <v>91</v>
      </c>
      <c r="F9" s="44" t="s">
        <v>63</v>
      </c>
      <c r="G9" s="44" t="s">
        <v>79</v>
      </c>
      <c r="H9" s="44" t="s">
        <v>65</v>
      </c>
      <c r="I9" s="44" t="s">
        <v>66</v>
      </c>
      <c r="J9" s="44" t="s">
        <v>67</v>
      </c>
      <c r="K9" s="44" t="s">
        <v>92</v>
      </c>
      <c r="L9" s="44" t="s">
        <v>93</v>
      </c>
      <c r="M9" s="44" t="s">
        <v>70</v>
      </c>
      <c r="N9" s="44" t="s">
        <v>94</v>
      </c>
    </row>
    <row r="10" spans="1:14">
      <c r="A10" s="38">
        <v>7</v>
      </c>
      <c r="B10" s="40" t="s">
        <v>95</v>
      </c>
      <c r="C10" s="44">
        <v>2</v>
      </c>
      <c r="D10" s="44" t="s">
        <v>61</v>
      </c>
      <c r="E10" s="44" t="s">
        <v>96</v>
      </c>
      <c r="F10" s="44" t="s">
        <v>63</v>
      </c>
      <c r="G10" s="44" t="s">
        <v>79</v>
      </c>
      <c r="H10" s="44" t="s">
        <v>65</v>
      </c>
      <c r="I10" s="44" t="s">
        <v>66</v>
      </c>
      <c r="J10" s="44" t="s">
        <v>86</v>
      </c>
      <c r="K10" s="44" t="s">
        <v>97</v>
      </c>
      <c r="L10" s="44" t="s">
        <v>98</v>
      </c>
      <c r="M10" s="44" t="s">
        <v>70</v>
      </c>
      <c r="N10" s="44" t="s">
        <v>99</v>
      </c>
    </row>
    <row r="11" spans="1:14">
      <c r="A11" s="38">
        <v>8</v>
      </c>
      <c r="B11" s="40" t="s">
        <v>100</v>
      </c>
      <c r="C11" s="44">
        <v>8</v>
      </c>
      <c r="D11" s="44" t="s">
        <v>101</v>
      </c>
      <c r="E11" s="44" t="s">
        <v>102</v>
      </c>
      <c r="F11" s="44" t="s">
        <v>63</v>
      </c>
      <c r="G11" s="44" t="s">
        <v>103</v>
      </c>
      <c r="H11" s="44" t="s">
        <v>65</v>
      </c>
      <c r="I11" s="44" t="s">
        <v>66</v>
      </c>
      <c r="J11" s="44" t="s">
        <v>104</v>
      </c>
      <c r="K11" s="44" t="s">
        <v>105</v>
      </c>
      <c r="L11" s="44" t="s">
        <v>106</v>
      </c>
      <c r="M11" s="44" t="s">
        <v>70</v>
      </c>
      <c r="N11" s="44" t="s">
        <v>83</v>
      </c>
    </row>
    <row r="12" spans="1:14">
      <c r="A12" s="38">
        <v>9</v>
      </c>
      <c r="B12" s="41" t="s">
        <v>107</v>
      </c>
      <c r="C12" s="44">
        <v>1</v>
      </c>
      <c r="D12" s="44" t="s">
        <v>108</v>
      </c>
      <c r="E12" s="44" t="s">
        <v>109</v>
      </c>
      <c r="F12" s="44" t="s">
        <v>63</v>
      </c>
      <c r="G12" s="44" t="s">
        <v>110</v>
      </c>
      <c r="H12" s="44" t="s">
        <v>65</v>
      </c>
      <c r="I12" s="44" t="s">
        <v>66</v>
      </c>
      <c r="J12" s="44"/>
      <c r="K12" s="44">
        <v>0</v>
      </c>
      <c r="L12" s="44">
        <v>0</v>
      </c>
      <c r="M12" s="44"/>
      <c r="N12" s="44"/>
    </row>
    <row r="13" spans="1:14">
      <c r="A13" s="38">
        <v>10</v>
      </c>
      <c r="B13" s="40" t="s">
        <v>111</v>
      </c>
      <c r="C13" s="44">
        <v>4</v>
      </c>
      <c r="D13" s="44" t="s">
        <v>101</v>
      </c>
      <c r="E13" s="44" t="s">
        <v>112</v>
      </c>
      <c r="F13" s="44" t="s">
        <v>63</v>
      </c>
      <c r="G13" s="44" t="s">
        <v>79</v>
      </c>
      <c r="H13" s="44" t="s">
        <v>113</v>
      </c>
      <c r="I13" s="44" t="s">
        <v>66</v>
      </c>
      <c r="J13" s="44" t="s">
        <v>114</v>
      </c>
      <c r="K13" s="44" t="s">
        <v>115</v>
      </c>
      <c r="L13" s="44" t="s">
        <v>116</v>
      </c>
      <c r="M13" s="44" t="s">
        <v>70</v>
      </c>
      <c r="N13" s="44" t="s">
        <v>117</v>
      </c>
    </row>
    <row r="14" spans="1:14">
      <c r="A14" s="38">
        <v>11</v>
      </c>
      <c r="B14" s="40" t="s">
        <v>118</v>
      </c>
      <c r="C14" s="44">
        <v>1</v>
      </c>
      <c r="D14" s="44" t="s">
        <v>108</v>
      </c>
      <c r="E14" s="44" t="s">
        <v>119</v>
      </c>
      <c r="F14" s="44" t="s">
        <v>63</v>
      </c>
      <c r="G14" s="44" t="s">
        <v>120</v>
      </c>
      <c r="H14" s="44" t="s">
        <v>65</v>
      </c>
      <c r="I14" s="44" t="s">
        <v>66</v>
      </c>
      <c r="J14" s="44" t="s">
        <v>67</v>
      </c>
      <c r="K14" s="44" t="s">
        <v>121</v>
      </c>
      <c r="L14" s="44" t="s">
        <v>122</v>
      </c>
      <c r="M14" s="44" t="s">
        <v>70</v>
      </c>
      <c r="N14" s="44" t="s">
        <v>94</v>
      </c>
    </row>
    <row r="15" spans="1:14">
      <c r="A15" s="38">
        <v>12</v>
      </c>
      <c r="B15" s="40" t="s">
        <v>123</v>
      </c>
      <c r="C15" s="44">
        <v>2</v>
      </c>
      <c r="D15" s="44" t="s">
        <v>61</v>
      </c>
      <c r="E15" s="44" t="s">
        <v>124</v>
      </c>
      <c r="F15" s="44" t="s">
        <v>63</v>
      </c>
      <c r="G15" s="44" t="s">
        <v>110</v>
      </c>
      <c r="H15" s="44" t="s">
        <v>65</v>
      </c>
      <c r="I15" s="44" t="s">
        <v>66</v>
      </c>
      <c r="J15" s="44" t="s">
        <v>80</v>
      </c>
      <c r="K15" s="44" t="s">
        <v>125</v>
      </c>
      <c r="L15" s="44" t="s">
        <v>126</v>
      </c>
      <c r="M15" s="44"/>
      <c r="N15" s="44" t="s">
        <v>83</v>
      </c>
    </row>
    <row r="16" spans="1:14">
      <c r="A16" s="38">
        <v>13</v>
      </c>
      <c r="B16" s="40" t="s">
        <v>127</v>
      </c>
      <c r="C16" s="44">
        <v>2</v>
      </c>
      <c r="D16" s="44" t="s">
        <v>61</v>
      </c>
      <c r="E16" s="44" t="s">
        <v>128</v>
      </c>
      <c r="F16" s="44" t="s">
        <v>63</v>
      </c>
      <c r="G16" s="44" t="s">
        <v>129</v>
      </c>
      <c r="H16" s="44" t="s">
        <v>65</v>
      </c>
      <c r="I16" s="44" t="s">
        <v>130</v>
      </c>
      <c r="J16" s="44" t="s">
        <v>131</v>
      </c>
      <c r="K16" s="44" t="s">
        <v>132</v>
      </c>
      <c r="L16" s="44" t="s">
        <v>133</v>
      </c>
      <c r="M16" s="44"/>
      <c r="N16" s="44" t="s">
        <v>134</v>
      </c>
    </row>
    <row r="17" spans="1:14">
      <c r="A17" s="38">
        <v>14</v>
      </c>
      <c r="B17" s="40" t="s">
        <v>135</v>
      </c>
      <c r="C17" s="44">
        <v>2</v>
      </c>
      <c r="D17" s="44" t="s">
        <v>61</v>
      </c>
      <c r="E17" s="44" t="s">
        <v>136</v>
      </c>
      <c r="F17" s="44" t="s">
        <v>137</v>
      </c>
      <c r="G17" s="44" t="s">
        <v>129</v>
      </c>
      <c r="H17" s="44" t="s">
        <v>65</v>
      </c>
      <c r="I17" s="44" t="s">
        <v>130</v>
      </c>
      <c r="J17" s="44" t="s">
        <v>131</v>
      </c>
      <c r="K17" s="44" t="s">
        <v>138</v>
      </c>
      <c r="L17" s="44" t="s">
        <v>139</v>
      </c>
      <c r="M17" s="44"/>
      <c r="N17" s="44" t="s">
        <v>140</v>
      </c>
    </row>
    <row r="18" spans="1:14">
      <c r="A18" s="38">
        <v>15</v>
      </c>
      <c r="B18" s="40" t="s">
        <v>141</v>
      </c>
      <c r="C18" s="44">
        <v>2</v>
      </c>
      <c r="D18" s="44" t="s">
        <v>61</v>
      </c>
      <c r="E18" s="44" t="s">
        <v>142</v>
      </c>
      <c r="F18" s="44" t="s">
        <v>63</v>
      </c>
      <c r="G18" s="44" t="s">
        <v>110</v>
      </c>
      <c r="H18" s="44" t="s">
        <v>65</v>
      </c>
      <c r="I18" s="44" t="s">
        <v>66</v>
      </c>
      <c r="J18" s="44" t="s">
        <v>143</v>
      </c>
      <c r="K18" s="44" t="s">
        <v>144</v>
      </c>
      <c r="L18" s="44" t="s">
        <v>145</v>
      </c>
      <c r="M18" s="44" t="s">
        <v>70</v>
      </c>
      <c r="N18" s="44" t="s">
        <v>99</v>
      </c>
    </row>
    <row r="19" spans="1:14">
      <c r="A19" s="38">
        <v>16</v>
      </c>
      <c r="B19" s="40" t="s">
        <v>146</v>
      </c>
      <c r="C19" s="44">
        <v>1</v>
      </c>
      <c r="D19" s="44" t="s">
        <v>108</v>
      </c>
      <c r="E19" s="44" t="s">
        <v>147</v>
      </c>
      <c r="F19" s="44" t="s">
        <v>63</v>
      </c>
      <c r="G19" s="44" t="s">
        <v>110</v>
      </c>
      <c r="H19" s="44" t="s">
        <v>65</v>
      </c>
      <c r="I19" s="44" t="s">
        <v>66</v>
      </c>
      <c r="J19" s="44" t="s">
        <v>67</v>
      </c>
      <c r="K19" s="44" t="s">
        <v>148</v>
      </c>
      <c r="L19" s="44" t="s">
        <v>149</v>
      </c>
      <c r="M19" s="44" t="s">
        <v>70</v>
      </c>
      <c r="N19" s="44" t="s">
        <v>150</v>
      </c>
    </row>
    <row r="20" spans="1:14">
      <c r="A20" s="38">
        <v>17</v>
      </c>
      <c r="B20" s="40" t="s">
        <v>151</v>
      </c>
      <c r="C20" s="44">
        <v>2</v>
      </c>
      <c r="D20" s="44" t="s">
        <v>61</v>
      </c>
      <c r="E20" s="44" t="s">
        <v>152</v>
      </c>
      <c r="F20" s="44" t="s">
        <v>63</v>
      </c>
      <c r="G20" s="44" t="s">
        <v>110</v>
      </c>
      <c r="H20" s="44" t="s">
        <v>65</v>
      </c>
      <c r="I20" s="44" t="s">
        <v>66</v>
      </c>
      <c r="J20" s="44" t="s">
        <v>67</v>
      </c>
      <c r="K20" s="44" t="s">
        <v>153</v>
      </c>
      <c r="L20" s="44" t="s">
        <v>154</v>
      </c>
      <c r="M20" s="44" t="s">
        <v>70</v>
      </c>
      <c r="N20" s="44" t="s">
        <v>94</v>
      </c>
    </row>
    <row r="21" spans="1:14">
      <c r="A21" s="38">
        <v>18</v>
      </c>
      <c r="B21" s="40" t="s">
        <v>155</v>
      </c>
      <c r="C21" s="44">
        <v>1</v>
      </c>
      <c r="D21" s="44" t="s">
        <v>108</v>
      </c>
      <c r="E21" s="44" t="s">
        <v>156</v>
      </c>
      <c r="F21" s="44" t="s">
        <v>63</v>
      </c>
      <c r="G21" s="44" t="s">
        <v>103</v>
      </c>
      <c r="H21" s="44" t="s">
        <v>65</v>
      </c>
      <c r="I21" s="44" t="s">
        <v>66</v>
      </c>
      <c r="J21" s="44" t="s">
        <v>67</v>
      </c>
      <c r="K21" s="44" t="s">
        <v>157</v>
      </c>
      <c r="L21" s="44" t="s">
        <v>149</v>
      </c>
      <c r="M21" s="44" t="s">
        <v>70</v>
      </c>
      <c r="N21" s="44" t="s">
        <v>158</v>
      </c>
    </row>
    <row r="22" spans="1:14">
      <c r="A22" s="38">
        <v>19</v>
      </c>
      <c r="B22" s="40" t="s">
        <v>159</v>
      </c>
      <c r="C22" s="44">
        <v>2</v>
      </c>
      <c r="D22" s="44" t="s">
        <v>61</v>
      </c>
      <c r="E22" s="44" t="s">
        <v>160</v>
      </c>
      <c r="F22" s="44" t="s">
        <v>63</v>
      </c>
      <c r="G22" s="44" t="s">
        <v>103</v>
      </c>
      <c r="H22" s="44" t="s">
        <v>65</v>
      </c>
      <c r="I22" s="44" t="s">
        <v>66</v>
      </c>
      <c r="J22" s="44" t="s">
        <v>67</v>
      </c>
      <c r="K22" s="44" t="s">
        <v>161</v>
      </c>
      <c r="L22" s="44" t="s">
        <v>162</v>
      </c>
      <c r="M22" s="44" t="s">
        <v>70</v>
      </c>
      <c r="N22" s="44" t="s">
        <v>71</v>
      </c>
    </row>
    <row r="23" spans="1:14">
      <c r="A23" s="38">
        <v>20</v>
      </c>
      <c r="B23" s="41" t="s">
        <v>163</v>
      </c>
      <c r="C23" s="44">
        <v>2</v>
      </c>
      <c r="D23" s="44" t="s">
        <v>61</v>
      </c>
      <c r="E23" s="44" t="s">
        <v>164</v>
      </c>
      <c r="F23" s="44" t="s">
        <v>63</v>
      </c>
      <c r="G23" s="44" t="s">
        <v>165</v>
      </c>
      <c r="H23" s="44" t="s">
        <v>65</v>
      </c>
      <c r="I23" s="44" t="s">
        <v>66</v>
      </c>
      <c r="J23" s="44" t="s">
        <v>67</v>
      </c>
      <c r="K23" s="44" t="s">
        <v>166</v>
      </c>
      <c r="L23" s="44" t="s">
        <v>167</v>
      </c>
      <c r="M23" s="44"/>
      <c r="N23" s="44"/>
    </row>
    <row r="24" spans="1:14">
      <c r="A24" s="38">
        <v>21</v>
      </c>
      <c r="B24" s="40" t="s">
        <v>168</v>
      </c>
      <c r="C24" s="44">
        <v>4</v>
      </c>
      <c r="D24" s="44" t="s">
        <v>101</v>
      </c>
      <c r="E24" s="44" t="s">
        <v>169</v>
      </c>
      <c r="F24" s="44" t="s">
        <v>63</v>
      </c>
      <c r="G24" s="44" t="s">
        <v>103</v>
      </c>
      <c r="H24" s="44" t="s">
        <v>113</v>
      </c>
      <c r="I24" s="44" t="s">
        <v>130</v>
      </c>
      <c r="J24" s="44" t="s">
        <v>131</v>
      </c>
      <c r="K24" s="44" t="s">
        <v>170</v>
      </c>
      <c r="L24" s="44" t="s">
        <v>171</v>
      </c>
      <c r="M24" s="44" t="s">
        <v>70</v>
      </c>
      <c r="N24" s="44" t="s">
        <v>71</v>
      </c>
    </row>
    <row r="25" spans="1:14">
      <c r="A25" s="38">
        <v>22</v>
      </c>
      <c r="B25" s="40" t="s">
        <v>172</v>
      </c>
      <c r="C25" s="44">
        <v>2</v>
      </c>
      <c r="D25" s="44" t="s">
        <v>173</v>
      </c>
      <c r="E25" s="44" t="s">
        <v>174</v>
      </c>
      <c r="F25" s="44" t="s">
        <v>63</v>
      </c>
      <c r="G25" s="44" t="s">
        <v>129</v>
      </c>
      <c r="H25" s="44" t="s">
        <v>65</v>
      </c>
      <c r="I25" s="44" t="s">
        <v>130</v>
      </c>
      <c r="J25" s="44" t="s">
        <v>175</v>
      </c>
      <c r="K25" s="44" t="s">
        <v>176</v>
      </c>
      <c r="L25" s="44" t="s">
        <v>177</v>
      </c>
      <c r="M25" s="44"/>
      <c r="N25" s="44" t="s">
        <v>178</v>
      </c>
    </row>
    <row r="26" spans="1:14">
      <c r="A26" s="38">
        <v>23</v>
      </c>
      <c r="B26" s="41" t="s">
        <v>179</v>
      </c>
      <c r="C26" s="44">
        <v>4</v>
      </c>
      <c r="D26" s="44" t="s">
        <v>173</v>
      </c>
      <c r="E26" s="44" t="s">
        <v>180</v>
      </c>
      <c r="F26" s="44" t="s">
        <v>137</v>
      </c>
      <c r="G26" s="44" t="s">
        <v>129</v>
      </c>
      <c r="H26" s="44" t="s">
        <v>65</v>
      </c>
      <c r="I26" s="44" t="s">
        <v>130</v>
      </c>
      <c r="J26" s="44" t="s">
        <v>175</v>
      </c>
      <c r="K26" s="44">
        <v>0</v>
      </c>
      <c r="L26" s="44">
        <v>0</v>
      </c>
      <c r="M26" s="44"/>
      <c r="N26" s="44" t="s">
        <v>178</v>
      </c>
    </row>
    <row r="27" spans="1:14">
      <c r="A27" s="38">
        <v>24</v>
      </c>
      <c r="B27" s="40" t="s">
        <v>181</v>
      </c>
      <c r="C27" s="44">
        <v>2</v>
      </c>
      <c r="D27" s="44" t="s">
        <v>61</v>
      </c>
      <c r="E27" s="44" t="s">
        <v>96</v>
      </c>
      <c r="F27" s="44" t="s">
        <v>63</v>
      </c>
      <c r="G27" s="44" t="s">
        <v>79</v>
      </c>
      <c r="H27" s="44" t="s">
        <v>65</v>
      </c>
      <c r="I27" s="44" t="s">
        <v>66</v>
      </c>
      <c r="J27" s="44" t="s">
        <v>67</v>
      </c>
      <c r="K27" s="44" t="s">
        <v>182</v>
      </c>
      <c r="L27" s="44" t="s">
        <v>183</v>
      </c>
      <c r="M27" s="44" t="s">
        <v>70</v>
      </c>
      <c r="N27" s="44" t="s">
        <v>184</v>
      </c>
    </row>
    <row r="28" spans="1:14">
      <c r="A28" s="38">
        <v>25</v>
      </c>
      <c r="B28" s="40" t="s">
        <v>185</v>
      </c>
      <c r="C28" s="44">
        <v>2</v>
      </c>
      <c r="D28" s="44" t="s">
        <v>186</v>
      </c>
      <c r="E28" s="44" t="s">
        <v>187</v>
      </c>
      <c r="F28" s="44" t="s">
        <v>63</v>
      </c>
      <c r="G28" s="44" t="s">
        <v>110</v>
      </c>
      <c r="H28" s="44" t="s">
        <v>65</v>
      </c>
      <c r="I28" s="44" t="s">
        <v>66</v>
      </c>
      <c r="J28" s="44" t="s">
        <v>80</v>
      </c>
      <c r="K28" s="44" t="s">
        <v>188</v>
      </c>
      <c r="L28" s="44" t="s">
        <v>189</v>
      </c>
      <c r="M28" s="44" t="s">
        <v>70</v>
      </c>
      <c r="N28" s="44" t="s">
        <v>71</v>
      </c>
    </row>
    <row r="29" spans="1:14">
      <c r="A29" s="38">
        <v>26</v>
      </c>
      <c r="B29" s="40" t="s">
        <v>190</v>
      </c>
      <c r="C29" s="44">
        <v>4</v>
      </c>
      <c r="D29" s="44" t="s">
        <v>101</v>
      </c>
      <c r="E29" s="44" t="s">
        <v>191</v>
      </c>
      <c r="F29" s="44" t="s">
        <v>63</v>
      </c>
      <c r="G29" s="44" t="s">
        <v>192</v>
      </c>
      <c r="H29" s="44" t="s">
        <v>65</v>
      </c>
      <c r="I29" s="44" t="s">
        <v>130</v>
      </c>
      <c r="J29" s="44" t="s">
        <v>175</v>
      </c>
      <c r="K29" s="44" t="s">
        <v>193</v>
      </c>
      <c r="L29" s="44" t="s">
        <v>194</v>
      </c>
      <c r="M29" s="44"/>
      <c r="N29" s="44" t="s">
        <v>195</v>
      </c>
    </row>
    <row r="30" spans="1:14">
      <c r="A30" s="38">
        <v>27</v>
      </c>
      <c r="B30" s="40" t="s">
        <v>196</v>
      </c>
      <c r="C30" s="44">
        <v>4</v>
      </c>
      <c r="D30" s="44" t="s">
        <v>197</v>
      </c>
      <c r="E30" s="44" t="s">
        <v>198</v>
      </c>
      <c r="F30" s="44" t="s">
        <v>63</v>
      </c>
      <c r="G30" s="44" t="s">
        <v>199</v>
      </c>
      <c r="H30" s="44" t="s">
        <v>113</v>
      </c>
      <c r="I30" s="44" t="s">
        <v>130</v>
      </c>
      <c r="J30" s="44" t="s">
        <v>200</v>
      </c>
      <c r="K30" s="44" t="s">
        <v>201</v>
      </c>
      <c r="L30" s="44" t="s">
        <v>202</v>
      </c>
      <c r="M30" s="44"/>
      <c r="N30" s="44" t="s">
        <v>195</v>
      </c>
    </row>
    <row r="31" spans="1:14">
      <c r="A31" s="38">
        <v>28</v>
      </c>
      <c r="B31" s="40" t="s">
        <v>203</v>
      </c>
      <c r="C31" s="44">
        <v>4</v>
      </c>
      <c r="D31" s="44" t="s">
        <v>101</v>
      </c>
      <c r="E31" s="44" t="s">
        <v>204</v>
      </c>
      <c r="F31" s="44" t="s">
        <v>137</v>
      </c>
      <c r="G31" s="44" t="s">
        <v>205</v>
      </c>
      <c r="H31" s="44" t="s">
        <v>65</v>
      </c>
      <c r="I31" s="44" t="s">
        <v>130</v>
      </c>
      <c r="J31" s="44" t="s">
        <v>175</v>
      </c>
      <c r="K31" s="44" t="s">
        <v>206</v>
      </c>
      <c r="L31" s="44" t="s">
        <v>106</v>
      </c>
      <c r="M31" s="44" t="s">
        <v>207</v>
      </c>
      <c r="N31" s="44" t="s">
        <v>208</v>
      </c>
    </row>
    <row r="32" spans="1:14">
      <c r="A32" s="38">
        <v>29</v>
      </c>
      <c r="B32" s="40" t="s">
        <v>209</v>
      </c>
      <c r="C32" s="44">
        <v>8</v>
      </c>
      <c r="D32" s="44" t="s">
        <v>120</v>
      </c>
      <c r="E32" s="44" t="s">
        <v>210</v>
      </c>
      <c r="F32" s="44" t="s">
        <v>137</v>
      </c>
      <c r="G32" s="44" t="s">
        <v>129</v>
      </c>
      <c r="H32" s="44" t="s">
        <v>65</v>
      </c>
      <c r="I32" s="44" t="s">
        <v>130</v>
      </c>
      <c r="J32" s="44" t="s">
        <v>175</v>
      </c>
      <c r="K32" s="44" t="s">
        <v>211</v>
      </c>
      <c r="L32" s="44" t="s">
        <v>212</v>
      </c>
      <c r="M32" s="44" t="s">
        <v>207</v>
      </c>
      <c r="N32" s="44" t="s">
        <v>208</v>
      </c>
    </row>
    <row r="33" spans="1:14">
      <c r="A33" s="38">
        <v>30</v>
      </c>
      <c r="B33" s="41" t="s">
        <v>213</v>
      </c>
      <c r="C33" s="44">
        <v>8</v>
      </c>
      <c r="D33" s="44" t="s">
        <v>197</v>
      </c>
      <c r="E33" s="44" t="s">
        <v>214</v>
      </c>
      <c r="F33" s="44" t="s">
        <v>137</v>
      </c>
      <c r="G33" s="44" t="s">
        <v>129</v>
      </c>
      <c r="H33" s="44" t="s">
        <v>65</v>
      </c>
      <c r="I33" s="44" t="s">
        <v>130</v>
      </c>
      <c r="J33" s="44" t="s">
        <v>175</v>
      </c>
      <c r="K33" s="44">
        <v>0</v>
      </c>
      <c r="L33" s="44">
        <v>0</v>
      </c>
      <c r="M33" s="44" t="s">
        <v>207</v>
      </c>
      <c r="N33" s="44" t="s">
        <v>208</v>
      </c>
    </row>
    <row r="34" spans="1:14">
      <c r="A34" s="38">
        <v>31</v>
      </c>
      <c r="B34" s="41" t="s">
        <v>215</v>
      </c>
      <c r="C34" s="44">
        <v>1</v>
      </c>
      <c r="D34" s="44" t="s">
        <v>108</v>
      </c>
      <c r="E34" s="44" t="s">
        <v>216</v>
      </c>
      <c r="F34" s="44" t="s">
        <v>63</v>
      </c>
      <c r="G34" s="44" t="s">
        <v>129</v>
      </c>
      <c r="H34" s="44" t="s">
        <v>65</v>
      </c>
      <c r="I34" s="44" t="s">
        <v>130</v>
      </c>
      <c r="J34" s="44" t="s">
        <v>175</v>
      </c>
      <c r="K34" s="44">
        <v>0</v>
      </c>
      <c r="L34" s="44">
        <v>0</v>
      </c>
      <c r="M34" s="44"/>
      <c r="N34" s="44" t="s">
        <v>83</v>
      </c>
    </row>
    <row r="35" spans="1:14">
      <c r="A35" s="38">
        <v>32</v>
      </c>
      <c r="B35" s="40" t="s">
        <v>217</v>
      </c>
      <c r="C35" s="44">
        <v>4</v>
      </c>
      <c r="D35" s="44" t="s">
        <v>173</v>
      </c>
      <c r="E35" s="44" t="s">
        <v>218</v>
      </c>
      <c r="F35" s="44" t="s">
        <v>63</v>
      </c>
      <c r="G35" s="44" t="s">
        <v>219</v>
      </c>
      <c r="H35" s="44" t="s">
        <v>65</v>
      </c>
      <c r="I35" s="44" t="s">
        <v>130</v>
      </c>
      <c r="J35" s="44" t="s">
        <v>175</v>
      </c>
      <c r="K35" s="44" t="s">
        <v>220</v>
      </c>
      <c r="L35" s="44" t="s">
        <v>221</v>
      </c>
      <c r="M35" s="44"/>
      <c r="N35" s="44" t="s">
        <v>83</v>
      </c>
    </row>
    <row r="36" spans="1:14">
      <c r="A36" s="38">
        <v>33</v>
      </c>
      <c r="B36" s="41" t="s">
        <v>222</v>
      </c>
      <c r="C36" s="44">
        <v>2</v>
      </c>
      <c r="D36" s="44" t="s">
        <v>61</v>
      </c>
      <c r="E36" s="44" t="s">
        <v>223</v>
      </c>
      <c r="F36" s="44" t="s">
        <v>63</v>
      </c>
      <c r="G36" s="44" t="s">
        <v>224</v>
      </c>
      <c r="H36" s="44" t="s">
        <v>113</v>
      </c>
      <c r="I36" s="44" t="s">
        <v>66</v>
      </c>
      <c r="J36" s="44" t="s">
        <v>74</v>
      </c>
      <c r="K36" s="44">
        <v>0</v>
      </c>
      <c r="L36" s="44">
        <v>0</v>
      </c>
      <c r="M36" s="44" t="s">
        <v>70</v>
      </c>
      <c r="N36" s="44" t="s">
        <v>71</v>
      </c>
    </row>
    <row r="37" spans="1:14">
      <c r="A37" s="38">
        <v>34</v>
      </c>
      <c r="B37" s="42" t="s">
        <v>225</v>
      </c>
      <c r="C37" s="43">
        <v>8</v>
      </c>
      <c r="D37" s="43" t="s">
        <v>120</v>
      </c>
      <c r="E37" s="43" t="s">
        <v>226</v>
      </c>
      <c r="F37" s="43" t="s">
        <v>63</v>
      </c>
      <c r="G37" s="43" t="s">
        <v>224</v>
      </c>
      <c r="H37" s="43" t="s">
        <v>65</v>
      </c>
      <c r="I37" s="43" t="s">
        <v>66</v>
      </c>
      <c r="J37" s="43" t="s">
        <v>67</v>
      </c>
      <c r="K37" s="43" t="s">
        <v>227</v>
      </c>
      <c r="L37" s="43" t="s">
        <v>228</v>
      </c>
      <c r="M37" s="43" t="s">
        <v>70</v>
      </c>
      <c r="N37" s="43" t="s">
        <v>71</v>
      </c>
    </row>
    <row r="38" spans="1:14">
      <c r="A38" s="38">
        <v>35</v>
      </c>
      <c r="B38" s="40" t="s">
        <v>229</v>
      </c>
      <c r="C38" s="44">
        <v>2</v>
      </c>
      <c r="D38" s="44" t="s">
        <v>61</v>
      </c>
      <c r="E38" s="44" t="s">
        <v>230</v>
      </c>
      <c r="F38" s="44" t="s">
        <v>63</v>
      </c>
      <c r="G38" s="45" t="s">
        <v>110</v>
      </c>
      <c r="H38" s="45" t="s">
        <v>65</v>
      </c>
      <c r="I38" s="45" t="s">
        <v>66</v>
      </c>
      <c r="J38" s="44" t="s">
        <v>67</v>
      </c>
      <c r="K38" s="46" t="s">
        <v>231</v>
      </c>
      <c r="L38" s="46" t="s">
        <v>232</v>
      </c>
      <c r="M38" s="47"/>
      <c r="N38" s="45" t="s">
        <v>83</v>
      </c>
    </row>
    <row r="39" spans="1:14">
      <c r="A39" s="38">
        <v>36</v>
      </c>
      <c r="B39" s="40" t="s">
        <v>233</v>
      </c>
      <c r="C39" s="44">
        <v>2</v>
      </c>
      <c r="D39" s="44" t="s">
        <v>61</v>
      </c>
      <c r="E39" s="44" t="s">
        <v>234</v>
      </c>
      <c r="F39" s="44" t="s">
        <v>137</v>
      </c>
      <c r="G39" s="45" t="s">
        <v>129</v>
      </c>
      <c r="H39" s="45" t="s">
        <v>65</v>
      </c>
      <c r="I39" s="45" t="s">
        <v>130</v>
      </c>
      <c r="J39" s="47" t="s">
        <v>175</v>
      </c>
      <c r="K39" s="46" t="s">
        <v>235</v>
      </c>
      <c r="L39" s="46" t="s">
        <v>236</v>
      </c>
      <c r="M39" s="48" t="s">
        <v>207</v>
      </c>
      <c r="N39" s="45" t="s">
        <v>208</v>
      </c>
    </row>
  </sheetData>
  <mergeCells count="1">
    <mergeCell ref="A1:D2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B5A6-55E4-4B46-9BC8-0734D7BB773B}">
  <dimension ref="A1"/>
  <sheetViews>
    <sheetView workbookViewId="0">
      <selection activeCell="P13" sqref="P13"/>
    </sheetView>
  </sheetViews>
  <sheetFormatPr defaultRowHeight="14.6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A2BA-9DBF-4039-B605-7AA99DBDD1F5}">
  <sheetPr>
    <pageSetUpPr fitToPage="1"/>
  </sheetPr>
  <dimension ref="A3:M50"/>
  <sheetViews>
    <sheetView topLeftCell="A25" zoomScale="40" zoomScaleNormal="40" workbookViewId="0">
      <selection activeCell="S15" sqref="S15"/>
    </sheetView>
  </sheetViews>
  <sheetFormatPr defaultColWidth="9.15234375" defaultRowHeight="14.6"/>
  <cols>
    <col min="1" max="1" width="43.3828125" style="50" customWidth="1"/>
    <col min="2" max="3" width="30" style="50" customWidth="1"/>
    <col min="4" max="5" width="20" style="50" customWidth="1"/>
    <col min="6" max="6" width="24.69140625" style="50" customWidth="1"/>
    <col min="7" max="7" width="24.84375" style="50" customWidth="1"/>
    <col min="8" max="8" width="10.15234375" style="50" customWidth="1"/>
    <col min="9" max="9" width="12.61328125" style="50" customWidth="1"/>
    <col min="10" max="10" width="39" style="50" customWidth="1"/>
    <col min="11" max="11" width="17.84375" style="50" bestFit="1" customWidth="1"/>
    <col min="12" max="12" width="15.69140625" style="50" customWidth="1"/>
    <col min="13" max="13" width="16.3828125" style="50" customWidth="1"/>
    <col min="14" max="16384" width="9.15234375" style="50"/>
  </cols>
  <sheetData>
    <row r="3" spans="1:1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5" spans="1:13" ht="24.45">
      <c r="A5" s="51" t="s">
        <v>237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13" ht="15" thickBot="1"/>
    <row r="7" spans="1:13" s="55" customFormat="1" ht="19.75">
      <c r="A7" s="52" t="str">
        <f ca="1">"Price Calculator "&amp;TEXT(TODAY(),"mmm dd, yyyy")</f>
        <v>Price Calculator Mar 20, 2026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4"/>
    </row>
    <row r="8" spans="1:13" s="60" customFormat="1" ht="32.6">
      <c r="A8" s="56" t="s">
        <v>238</v>
      </c>
      <c r="B8" s="57" t="s">
        <v>239</v>
      </c>
      <c r="C8" s="57" t="s">
        <v>240</v>
      </c>
      <c r="D8" s="57" t="s">
        <v>241</v>
      </c>
      <c r="E8" s="57" t="s">
        <v>242</v>
      </c>
      <c r="F8" s="57" t="s">
        <v>243</v>
      </c>
      <c r="G8" s="57" t="s">
        <v>244</v>
      </c>
      <c r="H8" s="57" t="s">
        <v>245</v>
      </c>
      <c r="I8" s="57" t="s">
        <v>246</v>
      </c>
      <c r="J8" s="57" t="s">
        <v>247</v>
      </c>
      <c r="K8" s="58" t="s">
        <v>248</v>
      </c>
      <c r="L8" s="59" t="s">
        <v>249</v>
      </c>
      <c r="M8" s="59" t="s">
        <v>250</v>
      </c>
    </row>
    <row r="9" spans="1:13" ht="81.45">
      <c r="A9" s="61" t="str">
        <f>C9</f>
        <v>ALUCEMOOD02</v>
      </c>
      <c r="B9" s="62" t="s">
        <v>251</v>
      </c>
      <c r="C9" s="62" t="s">
        <v>60</v>
      </c>
      <c r="D9" s="63" t="s">
        <v>252</v>
      </c>
      <c r="E9" s="63" t="s">
        <v>253</v>
      </c>
      <c r="F9" s="63" t="s">
        <v>254</v>
      </c>
      <c r="G9" s="63">
        <v>1</v>
      </c>
      <c r="H9" s="63"/>
      <c r="I9" s="63">
        <v>1</v>
      </c>
      <c r="J9" s="63" t="s">
        <v>255</v>
      </c>
      <c r="K9" s="64">
        <v>972.95</v>
      </c>
      <c r="L9" s="65">
        <f>K9</f>
        <v>972.95</v>
      </c>
      <c r="M9" s="65">
        <f>L9/12</f>
        <v>81.079166666666666</v>
      </c>
    </row>
    <row r="10" spans="1:13" ht="65.150000000000006">
      <c r="A10" s="61" t="str">
        <f t="shared" ref="A10:A37" si="0">C10</f>
        <v>CMUCE01</v>
      </c>
      <c r="B10" s="66" t="s">
        <v>256</v>
      </c>
      <c r="C10" s="66" t="s">
        <v>77</v>
      </c>
      <c r="D10" s="67" t="s">
        <v>252</v>
      </c>
      <c r="E10" s="67" t="s">
        <v>253</v>
      </c>
      <c r="F10" s="67" t="s">
        <v>254</v>
      </c>
      <c r="G10" s="67">
        <v>1</v>
      </c>
      <c r="H10" s="67"/>
      <c r="I10" s="67">
        <v>1</v>
      </c>
      <c r="J10" s="67" t="s">
        <v>257</v>
      </c>
      <c r="K10" s="68">
        <v>409.92</v>
      </c>
      <c r="L10" s="69">
        <f t="shared" ref="L10:L37" si="1">K10</f>
        <v>409.92</v>
      </c>
      <c r="M10" s="69">
        <f t="shared" ref="M10:M37" si="2">L10/12</f>
        <v>34.160000000000004</v>
      </c>
    </row>
    <row r="11" spans="1:13" ht="65.150000000000006">
      <c r="A11" s="61" t="str">
        <f t="shared" si="0"/>
        <v>EgresadosMau02</v>
      </c>
      <c r="B11" s="62" t="s">
        <v>258</v>
      </c>
      <c r="C11" s="62" t="s">
        <v>84</v>
      </c>
      <c r="D11" s="63" t="s">
        <v>252</v>
      </c>
      <c r="E11" s="63" t="s">
        <v>253</v>
      </c>
      <c r="F11" s="63" t="s">
        <v>254</v>
      </c>
      <c r="G11" s="63">
        <v>1</v>
      </c>
      <c r="H11" s="63"/>
      <c r="I11" s="63">
        <v>1</v>
      </c>
      <c r="J11" s="63" t="s">
        <v>259</v>
      </c>
      <c r="K11" s="64">
        <v>503.76</v>
      </c>
      <c r="L11" s="65">
        <f t="shared" si="1"/>
        <v>503.76</v>
      </c>
      <c r="M11" s="65">
        <f t="shared" si="2"/>
        <v>41.98</v>
      </c>
    </row>
    <row r="12" spans="1:13" ht="65.150000000000006">
      <c r="A12" s="61" t="str">
        <f t="shared" si="0"/>
        <v>EGRESADOSWP-RESTAURADA-2</v>
      </c>
      <c r="B12" s="66" t="s">
        <v>260</v>
      </c>
      <c r="C12" s="66" t="s">
        <v>261</v>
      </c>
      <c r="D12" s="67" t="s">
        <v>252</v>
      </c>
      <c r="E12" s="67" t="s">
        <v>253</v>
      </c>
      <c r="F12" s="67" t="s">
        <v>254</v>
      </c>
      <c r="G12" s="67">
        <v>1</v>
      </c>
      <c r="H12" s="67"/>
      <c r="I12" s="67">
        <v>1</v>
      </c>
      <c r="J12" s="67" t="s">
        <v>262</v>
      </c>
      <c r="K12" s="68">
        <v>409.92</v>
      </c>
      <c r="L12" s="69">
        <f t="shared" si="1"/>
        <v>409.92</v>
      </c>
      <c r="M12" s="69">
        <f t="shared" si="2"/>
        <v>34.160000000000004</v>
      </c>
    </row>
    <row r="13" spans="1:13" ht="65.150000000000006">
      <c r="A13" s="61" t="str">
        <f t="shared" si="0"/>
        <v>REDMINEPNUD03</v>
      </c>
      <c r="B13" s="62" t="s">
        <v>263</v>
      </c>
      <c r="C13" s="62" t="s">
        <v>95</v>
      </c>
      <c r="D13" s="63" t="s">
        <v>252</v>
      </c>
      <c r="E13" s="63" t="s">
        <v>253</v>
      </c>
      <c r="F13" s="63" t="s">
        <v>254</v>
      </c>
      <c r="G13" s="63">
        <v>1</v>
      </c>
      <c r="H13" s="63"/>
      <c r="I13" s="63">
        <v>1</v>
      </c>
      <c r="J13" s="63" t="s">
        <v>262</v>
      </c>
      <c r="K13" s="64">
        <v>409.92</v>
      </c>
      <c r="L13" s="65">
        <f t="shared" si="1"/>
        <v>409.92</v>
      </c>
      <c r="M13" s="65">
        <f t="shared" si="2"/>
        <v>34.160000000000004</v>
      </c>
    </row>
    <row r="14" spans="1:13" ht="65.150000000000006">
      <c r="A14" s="61" t="str">
        <f t="shared" si="0"/>
        <v>SRVCIDIIA</v>
      </c>
      <c r="B14" s="66" t="s">
        <v>264</v>
      </c>
      <c r="C14" s="66" t="s">
        <v>100</v>
      </c>
      <c r="D14" s="67" t="s">
        <v>252</v>
      </c>
      <c r="E14" s="67" t="s">
        <v>253</v>
      </c>
      <c r="F14" s="67" t="s">
        <v>254</v>
      </c>
      <c r="G14" s="67">
        <v>1</v>
      </c>
      <c r="H14" s="67"/>
      <c r="I14" s="67">
        <v>1</v>
      </c>
      <c r="J14" s="67" t="s">
        <v>265</v>
      </c>
      <c r="K14" s="68">
        <v>1598.57</v>
      </c>
      <c r="L14" s="69">
        <f t="shared" si="1"/>
        <v>1598.57</v>
      </c>
      <c r="M14" s="69">
        <f t="shared" si="2"/>
        <v>133.21416666666667</v>
      </c>
    </row>
    <row r="15" spans="1:13" ht="65.150000000000006">
      <c r="A15" s="61" t="str">
        <f t="shared" si="0"/>
        <v>UCEAZBIB01</v>
      </c>
      <c r="B15" s="62" t="s">
        <v>266</v>
      </c>
      <c r="C15" s="62" t="s">
        <v>111</v>
      </c>
      <c r="D15" s="63" t="s">
        <v>252</v>
      </c>
      <c r="E15" s="63" t="s">
        <v>253</v>
      </c>
      <c r="F15" s="63" t="s">
        <v>254</v>
      </c>
      <c r="G15" s="63">
        <v>1</v>
      </c>
      <c r="H15" s="63"/>
      <c r="I15" s="63">
        <v>1</v>
      </c>
      <c r="J15" s="63" t="s">
        <v>267</v>
      </c>
      <c r="K15" s="64">
        <v>892.68</v>
      </c>
      <c r="L15" s="65">
        <f t="shared" si="1"/>
        <v>892.68</v>
      </c>
      <c r="M15" s="65">
        <f t="shared" si="2"/>
        <v>74.39</v>
      </c>
    </row>
    <row r="16" spans="1:13" ht="65.150000000000006">
      <c r="A16" s="61" t="str">
        <f t="shared" si="0"/>
        <v>UCEAZCEGODEL</v>
      </c>
      <c r="B16" s="66" t="s">
        <v>268</v>
      </c>
      <c r="C16" s="66" t="s">
        <v>118</v>
      </c>
      <c r="D16" s="67" t="s">
        <v>252</v>
      </c>
      <c r="E16" s="67" t="s">
        <v>253</v>
      </c>
      <c r="F16" s="67" t="s">
        <v>254</v>
      </c>
      <c r="G16" s="67">
        <v>1</v>
      </c>
      <c r="H16" s="67"/>
      <c r="I16" s="67">
        <v>1</v>
      </c>
      <c r="J16" s="67" t="s">
        <v>269</v>
      </c>
      <c r="K16" s="68">
        <v>261.95999999999998</v>
      </c>
      <c r="L16" s="69">
        <f t="shared" si="1"/>
        <v>261.95999999999998</v>
      </c>
      <c r="M16" s="69">
        <f t="shared" si="2"/>
        <v>21.83</v>
      </c>
    </row>
    <row r="17" spans="1:13" ht="65.150000000000006">
      <c r="A17" s="61" t="str">
        <f t="shared" si="0"/>
        <v>UCEAZCOSTO</v>
      </c>
      <c r="B17" s="62" t="s">
        <v>270</v>
      </c>
      <c r="C17" s="62" t="s">
        <v>123</v>
      </c>
      <c r="D17" s="63" t="s">
        <v>252</v>
      </c>
      <c r="E17" s="63" t="s">
        <v>253</v>
      </c>
      <c r="F17" s="63" t="s">
        <v>254</v>
      </c>
      <c r="G17" s="63">
        <v>1</v>
      </c>
      <c r="H17" s="63"/>
      <c r="I17" s="63">
        <v>1</v>
      </c>
      <c r="J17" s="63" t="s">
        <v>257</v>
      </c>
      <c r="K17" s="64">
        <v>409.92</v>
      </c>
      <c r="L17" s="65">
        <f t="shared" si="1"/>
        <v>409.92</v>
      </c>
      <c r="M17" s="65">
        <f t="shared" si="2"/>
        <v>34.160000000000004</v>
      </c>
    </row>
    <row r="18" spans="1:13" ht="81.45">
      <c r="A18" s="61" t="str">
        <f t="shared" si="0"/>
        <v>UCEAZDATAGATEWAY</v>
      </c>
      <c r="B18" s="66" t="s">
        <v>271</v>
      </c>
      <c r="C18" s="66" t="s">
        <v>127</v>
      </c>
      <c r="D18" s="67" t="s">
        <v>252</v>
      </c>
      <c r="E18" s="67" t="s">
        <v>253</v>
      </c>
      <c r="F18" s="67" t="s">
        <v>254</v>
      </c>
      <c r="G18" s="67">
        <v>1</v>
      </c>
      <c r="H18" s="67"/>
      <c r="I18" s="67">
        <v>1</v>
      </c>
      <c r="J18" s="67" t="s">
        <v>272</v>
      </c>
      <c r="K18" s="68">
        <v>440.67</v>
      </c>
      <c r="L18" s="69">
        <f t="shared" si="1"/>
        <v>440.67</v>
      </c>
      <c r="M18" s="69">
        <f t="shared" si="2"/>
        <v>36.722500000000004</v>
      </c>
    </row>
    <row r="19" spans="1:13" ht="81.45">
      <c r="A19" s="61" t="str">
        <f t="shared" si="0"/>
        <v>UCEAZDC02</v>
      </c>
      <c r="B19" s="62" t="s">
        <v>273</v>
      </c>
      <c r="C19" s="62" t="s">
        <v>135</v>
      </c>
      <c r="D19" s="63" t="s">
        <v>252</v>
      </c>
      <c r="E19" s="63" t="s">
        <v>253</v>
      </c>
      <c r="F19" s="63" t="s">
        <v>254</v>
      </c>
      <c r="G19" s="63">
        <v>1</v>
      </c>
      <c r="H19" s="63"/>
      <c r="I19" s="63">
        <v>1</v>
      </c>
      <c r="J19" s="63" t="s">
        <v>274</v>
      </c>
      <c r="K19" s="64">
        <v>534.51</v>
      </c>
      <c r="L19" s="65">
        <f t="shared" si="1"/>
        <v>534.51</v>
      </c>
      <c r="M19" s="65">
        <f t="shared" si="2"/>
        <v>44.542499999999997</v>
      </c>
    </row>
    <row r="20" spans="1:13" ht="65.150000000000006">
      <c r="A20" s="61" t="str">
        <f t="shared" si="0"/>
        <v>UCEAZEXP01</v>
      </c>
      <c r="B20" s="66" t="s">
        <v>275</v>
      </c>
      <c r="C20" s="66" t="s">
        <v>141</v>
      </c>
      <c r="D20" s="67" t="s">
        <v>252</v>
      </c>
      <c r="E20" s="67" t="s">
        <v>253</v>
      </c>
      <c r="F20" s="67" t="s">
        <v>254</v>
      </c>
      <c r="G20" s="67">
        <v>1</v>
      </c>
      <c r="H20" s="67"/>
      <c r="I20" s="67">
        <v>1</v>
      </c>
      <c r="J20" s="67" t="s">
        <v>257</v>
      </c>
      <c r="K20" s="68">
        <v>409.92</v>
      </c>
      <c r="L20" s="69">
        <f t="shared" si="1"/>
        <v>409.92</v>
      </c>
      <c r="M20" s="69">
        <f t="shared" si="2"/>
        <v>34.160000000000004</v>
      </c>
    </row>
    <row r="21" spans="1:13" ht="65.150000000000006">
      <c r="A21" s="61" t="str">
        <f t="shared" si="0"/>
        <v>UCEAZFORMS</v>
      </c>
      <c r="B21" s="62" t="s">
        <v>276</v>
      </c>
      <c r="C21" s="62" t="s">
        <v>146</v>
      </c>
      <c r="D21" s="63" t="s">
        <v>252</v>
      </c>
      <c r="E21" s="63" t="s">
        <v>253</v>
      </c>
      <c r="F21" s="63" t="s">
        <v>254</v>
      </c>
      <c r="G21" s="63">
        <v>1</v>
      </c>
      <c r="H21" s="63"/>
      <c r="I21" s="63">
        <v>1</v>
      </c>
      <c r="J21" s="63" t="s">
        <v>269</v>
      </c>
      <c r="K21" s="64">
        <v>261.95999999999998</v>
      </c>
      <c r="L21" s="65">
        <f t="shared" si="1"/>
        <v>261.95999999999998</v>
      </c>
      <c r="M21" s="65">
        <f t="shared" si="2"/>
        <v>21.83</v>
      </c>
    </row>
    <row r="22" spans="1:13" ht="65.150000000000006">
      <c r="A22" s="61" t="str">
        <f t="shared" si="0"/>
        <v>UCEAZFRONTEND</v>
      </c>
      <c r="B22" s="66" t="s">
        <v>277</v>
      </c>
      <c r="C22" s="66" t="s">
        <v>151</v>
      </c>
      <c r="D22" s="67" t="s">
        <v>252</v>
      </c>
      <c r="E22" s="67" t="s">
        <v>253</v>
      </c>
      <c r="F22" s="67" t="s">
        <v>254</v>
      </c>
      <c r="G22" s="67">
        <v>1</v>
      </c>
      <c r="H22" s="67"/>
      <c r="I22" s="67">
        <v>1</v>
      </c>
      <c r="J22" s="67" t="s">
        <v>257</v>
      </c>
      <c r="K22" s="68">
        <v>409.92</v>
      </c>
      <c r="L22" s="69">
        <f t="shared" si="1"/>
        <v>409.92</v>
      </c>
      <c r="M22" s="69">
        <f t="shared" si="2"/>
        <v>34.160000000000004</v>
      </c>
    </row>
    <row r="23" spans="1:13" ht="65.150000000000006">
      <c r="A23" s="61" t="str">
        <f t="shared" si="0"/>
        <v>UCEAZGLITCHTIP</v>
      </c>
      <c r="B23" s="62" t="s">
        <v>278</v>
      </c>
      <c r="C23" s="62" t="s">
        <v>155</v>
      </c>
      <c r="D23" s="63" t="s">
        <v>252</v>
      </c>
      <c r="E23" s="63" t="s">
        <v>253</v>
      </c>
      <c r="F23" s="63" t="s">
        <v>254</v>
      </c>
      <c r="G23" s="63">
        <v>1</v>
      </c>
      <c r="H23" s="63"/>
      <c r="I23" s="63">
        <v>1</v>
      </c>
      <c r="J23" s="63" t="s">
        <v>279</v>
      </c>
      <c r="K23" s="64">
        <v>439.61</v>
      </c>
      <c r="L23" s="65">
        <f t="shared" si="1"/>
        <v>439.61</v>
      </c>
      <c r="M23" s="65">
        <f t="shared" si="2"/>
        <v>36.634166666666665</v>
      </c>
    </row>
    <row r="24" spans="1:13" ht="65.150000000000006">
      <c r="A24" s="61" t="str">
        <f t="shared" si="0"/>
        <v>UCEAZIDIOMAS</v>
      </c>
      <c r="B24" s="66" t="s">
        <v>280</v>
      </c>
      <c r="C24" s="66" t="s">
        <v>159</v>
      </c>
      <c r="D24" s="67" t="s">
        <v>252</v>
      </c>
      <c r="E24" s="67" t="s">
        <v>253</v>
      </c>
      <c r="F24" s="67" t="s">
        <v>254</v>
      </c>
      <c r="G24" s="67">
        <v>1</v>
      </c>
      <c r="H24" s="67"/>
      <c r="I24" s="67">
        <v>1</v>
      </c>
      <c r="J24" s="67" t="s">
        <v>281</v>
      </c>
      <c r="K24" s="68">
        <v>587.57000000000005</v>
      </c>
      <c r="L24" s="69">
        <f t="shared" si="1"/>
        <v>587.57000000000005</v>
      </c>
      <c r="M24" s="69">
        <f t="shared" si="2"/>
        <v>48.964166666666671</v>
      </c>
    </row>
    <row r="25" spans="1:13" ht="81.45">
      <c r="A25" s="61" t="str">
        <f t="shared" si="0"/>
        <v>UCEAZMODREF</v>
      </c>
      <c r="B25" s="62" t="s">
        <v>282</v>
      </c>
      <c r="C25" s="62" t="s">
        <v>168</v>
      </c>
      <c r="D25" s="63" t="s">
        <v>252</v>
      </c>
      <c r="E25" s="63" t="s">
        <v>253</v>
      </c>
      <c r="F25" s="63" t="s">
        <v>254</v>
      </c>
      <c r="G25" s="63">
        <v>1</v>
      </c>
      <c r="H25" s="63"/>
      <c r="I25" s="63">
        <v>1</v>
      </c>
      <c r="J25" s="63" t="s">
        <v>283</v>
      </c>
      <c r="K25" s="64">
        <v>883.73</v>
      </c>
      <c r="L25" s="65">
        <f t="shared" si="1"/>
        <v>883.73</v>
      </c>
      <c r="M25" s="65">
        <f t="shared" si="2"/>
        <v>73.644166666666663</v>
      </c>
    </row>
    <row r="26" spans="1:13" ht="81.45">
      <c r="A26" s="61" t="str">
        <f t="shared" si="0"/>
        <v>UCEAZREP01</v>
      </c>
      <c r="B26" s="66" t="s">
        <v>284</v>
      </c>
      <c r="C26" s="66" t="s">
        <v>172</v>
      </c>
      <c r="D26" s="67" t="s">
        <v>252</v>
      </c>
      <c r="E26" s="67" t="s">
        <v>253</v>
      </c>
      <c r="F26" s="67" t="s">
        <v>254</v>
      </c>
      <c r="G26" s="67">
        <v>1</v>
      </c>
      <c r="H26" s="67"/>
      <c r="I26" s="67">
        <v>1</v>
      </c>
      <c r="J26" s="67" t="s">
        <v>285</v>
      </c>
      <c r="K26" s="68">
        <v>474.87</v>
      </c>
      <c r="L26" s="69">
        <f t="shared" si="1"/>
        <v>474.87</v>
      </c>
      <c r="M26" s="69">
        <f t="shared" si="2"/>
        <v>39.572499999999998</v>
      </c>
    </row>
    <row r="27" spans="1:13" ht="65.150000000000006">
      <c r="A27" s="61" t="str">
        <f t="shared" si="0"/>
        <v>UCEAZREVISTAUC</v>
      </c>
      <c r="B27" s="62" t="s">
        <v>286</v>
      </c>
      <c r="C27" s="62" t="s">
        <v>181</v>
      </c>
      <c r="D27" s="63" t="s">
        <v>252</v>
      </c>
      <c r="E27" s="63" t="s">
        <v>253</v>
      </c>
      <c r="F27" s="63" t="s">
        <v>254</v>
      </c>
      <c r="G27" s="63">
        <v>1</v>
      </c>
      <c r="H27" s="63"/>
      <c r="I27" s="63">
        <v>1</v>
      </c>
      <c r="J27" s="63" t="s">
        <v>257</v>
      </c>
      <c r="K27" s="64">
        <v>409.92</v>
      </c>
      <c r="L27" s="65">
        <f t="shared" si="1"/>
        <v>409.92</v>
      </c>
      <c r="M27" s="65">
        <f t="shared" si="2"/>
        <v>34.160000000000004</v>
      </c>
    </row>
    <row r="28" spans="1:13" ht="65.150000000000006">
      <c r="A28" s="61" t="str">
        <f t="shared" si="0"/>
        <v>UCEAZRRHHMOD</v>
      </c>
      <c r="B28" s="66" t="s">
        <v>287</v>
      </c>
      <c r="C28" s="66" t="s">
        <v>185</v>
      </c>
      <c r="D28" s="67" t="s">
        <v>252</v>
      </c>
      <c r="E28" s="67" t="s">
        <v>253</v>
      </c>
      <c r="F28" s="67" t="s">
        <v>254</v>
      </c>
      <c r="G28" s="67">
        <v>1</v>
      </c>
      <c r="H28" s="67"/>
      <c r="I28" s="67">
        <v>1</v>
      </c>
      <c r="J28" s="67" t="s">
        <v>288</v>
      </c>
      <c r="K28" s="68">
        <v>375.84</v>
      </c>
      <c r="L28" s="69">
        <f t="shared" si="1"/>
        <v>375.84</v>
      </c>
      <c r="M28" s="69">
        <f t="shared" si="2"/>
        <v>31.319999999999997</v>
      </c>
    </row>
    <row r="29" spans="1:13" ht="81.45">
      <c r="A29" s="61" t="str">
        <f t="shared" si="0"/>
        <v>UCEAZSP01</v>
      </c>
      <c r="B29" s="62" t="s">
        <v>289</v>
      </c>
      <c r="C29" s="62" t="s">
        <v>190</v>
      </c>
      <c r="D29" s="63" t="s">
        <v>252</v>
      </c>
      <c r="E29" s="63" t="s">
        <v>253</v>
      </c>
      <c r="F29" s="63" t="s">
        <v>254</v>
      </c>
      <c r="G29" s="63">
        <v>1</v>
      </c>
      <c r="H29" s="63"/>
      <c r="I29" s="63">
        <v>1</v>
      </c>
      <c r="J29" s="63" t="s">
        <v>290</v>
      </c>
      <c r="K29" s="64">
        <v>819.96</v>
      </c>
      <c r="L29" s="65">
        <f t="shared" si="1"/>
        <v>819.96</v>
      </c>
      <c r="M29" s="65">
        <f t="shared" si="2"/>
        <v>68.33</v>
      </c>
    </row>
    <row r="30" spans="1:13" ht="81.45">
      <c r="A30" s="61" t="str">
        <f t="shared" si="0"/>
        <v>UCEAZSP2013-5</v>
      </c>
      <c r="B30" s="66" t="s">
        <v>291</v>
      </c>
      <c r="C30" s="66" t="s">
        <v>196</v>
      </c>
      <c r="D30" s="67" t="s">
        <v>252</v>
      </c>
      <c r="E30" s="67" t="s">
        <v>253</v>
      </c>
      <c r="F30" s="67" t="s">
        <v>254</v>
      </c>
      <c r="G30" s="67">
        <v>1</v>
      </c>
      <c r="H30" s="67"/>
      <c r="I30" s="67">
        <v>1</v>
      </c>
      <c r="J30" s="67" t="s">
        <v>292</v>
      </c>
      <c r="K30" s="68">
        <v>1298.28</v>
      </c>
      <c r="L30" s="69">
        <f t="shared" si="1"/>
        <v>1298.28</v>
      </c>
      <c r="M30" s="69">
        <f t="shared" si="2"/>
        <v>108.19</v>
      </c>
    </row>
    <row r="31" spans="1:13" ht="125.6" customHeight="1">
      <c r="A31" s="61" t="str">
        <f t="shared" si="0"/>
        <v>UCEAZSQL01</v>
      </c>
      <c r="B31" s="62" t="s">
        <v>293</v>
      </c>
      <c r="C31" s="62" t="s">
        <v>203</v>
      </c>
      <c r="D31" s="63" t="s">
        <v>252</v>
      </c>
      <c r="E31" s="63" t="s">
        <v>253</v>
      </c>
      <c r="F31" s="63" t="s">
        <v>254</v>
      </c>
      <c r="G31" s="63">
        <v>1</v>
      </c>
      <c r="H31" s="63"/>
      <c r="I31" s="63">
        <v>1</v>
      </c>
      <c r="J31" s="63" t="s">
        <v>294</v>
      </c>
      <c r="K31" s="64">
        <v>4764.6000000000004</v>
      </c>
      <c r="L31" s="65">
        <f t="shared" si="1"/>
        <v>4764.6000000000004</v>
      </c>
      <c r="M31" s="65">
        <f t="shared" si="2"/>
        <v>397.05</v>
      </c>
    </row>
    <row r="32" spans="1:13" ht="100.3" customHeight="1">
      <c r="A32" s="61" t="str">
        <f t="shared" si="0"/>
        <v>UCEAZSQL02</v>
      </c>
      <c r="B32" s="66" t="s">
        <v>295</v>
      </c>
      <c r="C32" s="66" t="s">
        <v>209</v>
      </c>
      <c r="D32" s="67" t="s">
        <v>252</v>
      </c>
      <c r="E32" s="67" t="s">
        <v>253</v>
      </c>
      <c r="F32" s="67" t="s">
        <v>254</v>
      </c>
      <c r="G32" s="67">
        <v>1</v>
      </c>
      <c r="H32" s="67"/>
      <c r="I32" s="67">
        <v>1</v>
      </c>
      <c r="J32" s="67" t="s">
        <v>296</v>
      </c>
      <c r="K32" s="68">
        <v>1702.11</v>
      </c>
      <c r="L32" s="69">
        <f t="shared" si="1"/>
        <v>1702.11</v>
      </c>
      <c r="M32" s="69">
        <f t="shared" si="2"/>
        <v>141.8425</v>
      </c>
    </row>
    <row r="33" spans="1:13" ht="81.45">
      <c r="A33" s="61" t="str">
        <f t="shared" si="0"/>
        <v>UCEAZWEB02</v>
      </c>
      <c r="B33" s="62" t="s">
        <v>297</v>
      </c>
      <c r="C33" s="62" t="s">
        <v>217</v>
      </c>
      <c r="D33" s="63" t="s">
        <v>252</v>
      </c>
      <c r="E33" s="63" t="s">
        <v>253</v>
      </c>
      <c r="F33" s="63" t="s">
        <v>254</v>
      </c>
      <c r="G33" s="63">
        <v>1</v>
      </c>
      <c r="H33" s="63"/>
      <c r="I33" s="63">
        <v>1</v>
      </c>
      <c r="J33" s="63" t="s">
        <v>298</v>
      </c>
      <c r="K33" s="64">
        <v>763.02</v>
      </c>
      <c r="L33" s="65">
        <f t="shared" si="1"/>
        <v>763.02</v>
      </c>
      <c r="M33" s="65">
        <f t="shared" si="2"/>
        <v>63.585000000000001</v>
      </c>
    </row>
    <row r="34" spans="1:13" ht="81.45">
      <c r="A34" s="61" t="str">
        <f t="shared" si="0"/>
        <v>UCEMOOD02</v>
      </c>
      <c r="B34" s="66" t="s">
        <v>299</v>
      </c>
      <c r="C34" s="66" t="s">
        <v>300</v>
      </c>
      <c r="D34" s="67" t="s">
        <v>252</v>
      </c>
      <c r="E34" s="67" t="s">
        <v>253</v>
      </c>
      <c r="F34" s="67" t="s">
        <v>254</v>
      </c>
      <c r="G34" s="67">
        <v>1</v>
      </c>
      <c r="H34" s="67"/>
      <c r="I34" s="67">
        <v>1</v>
      </c>
      <c r="J34" s="67" t="s">
        <v>301</v>
      </c>
      <c r="K34" s="68">
        <v>4885.5</v>
      </c>
      <c r="L34" s="69">
        <f t="shared" si="1"/>
        <v>4885.5</v>
      </c>
      <c r="M34" s="69">
        <f t="shared" si="2"/>
        <v>407.125</v>
      </c>
    </row>
    <row r="35" spans="1:13" ht="81.45">
      <c r="A35" s="61" t="str">
        <f t="shared" si="0"/>
        <v>App Service</v>
      </c>
      <c r="B35" s="62" t="s">
        <v>302</v>
      </c>
      <c r="C35" s="62" t="s">
        <v>303</v>
      </c>
      <c r="D35" s="63" t="s">
        <v>252</v>
      </c>
      <c r="E35" s="63" t="s">
        <v>253</v>
      </c>
      <c r="F35" s="63" t="s">
        <v>254</v>
      </c>
      <c r="G35" s="63">
        <v>1</v>
      </c>
      <c r="H35" s="63"/>
      <c r="I35" s="63">
        <v>1</v>
      </c>
      <c r="J35" s="63" t="s">
        <v>304</v>
      </c>
      <c r="K35" s="64">
        <v>187.5</v>
      </c>
      <c r="L35" s="65">
        <f t="shared" si="1"/>
        <v>187.5</v>
      </c>
      <c r="M35" s="65">
        <f t="shared" si="2"/>
        <v>15.625</v>
      </c>
    </row>
    <row r="36" spans="1:13" ht="65.150000000000006">
      <c r="A36" s="61" t="str">
        <f t="shared" si="0"/>
        <v>UCEAZFINANCIERO</v>
      </c>
      <c r="B36" s="66" t="s">
        <v>305</v>
      </c>
      <c r="C36" s="66" t="s">
        <v>229</v>
      </c>
      <c r="D36" s="67" t="s">
        <v>252</v>
      </c>
      <c r="E36" s="67" t="s">
        <v>253</v>
      </c>
      <c r="F36" s="67" t="s">
        <v>254</v>
      </c>
      <c r="G36" s="67">
        <v>1</v>
      </c>
      <c r="H36" s="67"/>
      <c r="I36" s="67">
        <v>1</v>
      </c>
      <c r="J36" s="67" t="s">
        <v>306</v>
      </c>
      <c r="K36" s="68">
        <v>375.76</v>
      </c>
      <c r="L36" s="69">
        <f t="shared" si="1"/>
        <v>375.76</v>
      </c>
      <c r="M36" s="69">
        <f t="shared" si="2"/>
        <v>31.313333333333333</v>
      </c>
    </row>
    <row r="37" spans="1:13" ht="81.45">
      <c r="A37" s="61" t="str">
        <f t="shared" si="0"/>
        <v>UCEAZSQL-SISPEDRO</v>
      </c>
      <c r="B37" s="62" t="s">
        <v>307</v>
      </c>
      <c r="C37" s="62" t="s">
        <v>233</v>
      </c>
      <c r="D37" s="63" t="s">
        <v>252</v>
      </c>
      <c r="E37" s="63" t="s">
        <v>253</v>
      </c>
      <c r="F37" s="63" t="s">
        <v>254</v>
      </c>
      <c r="G37" s="63">
        <v>1</v>
      </c>
      <c r="H37" s="63"/>
      <c r="I37" s="63">
        <v>1</v>
      </c>
      <c r="J37" s="63" t="s">
        <v>308</v>
      </c>
      <c r="K37" s="64">
        <v>466.86</v>
      </c>
      <c r="L37" s="65">
        <f t="shared" si="1"/>
        <v>466.86</v>
      </c>
      <c r="M37" s="65">
        <f t="shared" si="2"/>
        <v>38.905000000000001</v>
      </c>
    </row>
    <row r="38" spans="1:13" ht="32.6">
      <c r="A38" s="61" t="s">
        <v>309</v>
      </c>
      <c r="B38" s="66" t="s">
        <v>310</v>
      </c>
      <c r="C38" s="66" t="s">
        <v>311</v>
      </c>
      <c r="D38" s="67" t="s">
        <v>252</v>
      </c>
      <c r="E38" s="67" t="s">
        <v>253</v>
      </c>
      <c r="F38" s="67" t="s">
        <v>312</v>
      </c>
      <c r="G38" s="67">
        <v>8760</v>
      </c>
      <c r="H38" s="67" t="s">
        <v>313</v>
      </c>
      <c r="I38" s="67">
        <v>1</v>
      </c>
      <c r="J38" s="67" t="s">
        <v>314</v>
      </c>
      <c r="K38" s="68">
        <v>9636</v>
      </c>
      <c r="L38" s="69">
        <v>9636</v>
      </c>
      <c r="M38" s="69">
        <f>L38/12</f>
        <v>803</v>
      </c>
    </row>
    <row r="39" spans="1:13" ht="97.75">
      <c r="A39" s="70" t="s">
        <v>315</v>
      </c>
      <c r="B39" s="62" t="s">
        <v>316</v>
      </c>
      <c r="C39" s="62" t="s">
        <v>317</v>
      </c>
      <c r="D39" s="63" t="s">
        <v>252</v>
      </c>
      <c r="E39" s="63" t="s">
        <v>253</v>
      </c>
      <c r="F39" s="63" t="s">
        <v>312</v>
      </c>
      <c r="G39" s="63">
        <v>12</v>
      </c>
      <c r="H39" s="63" t="s">
        <v>318</v>
      </c>
      <c r="I39" s="63">
        <v>1</v>
      </c>
      <c r="J39" s="63" t="s">
        <v>319</v>
      </c>
      <c r="K39" s="64">
        <v>95.8</v>
      </c>
      <c r="L39" s="65">
        <v>1149.5999999999999</v>
      </c>
      <c r="M39" s="65">
        <f t="shared" ref="M39:M40" si="3">L39/12</f>
        <v>95.8</v>
      </c>
    </row>
    <row r="40" spans="1:13" ht="114">
      <c r="A40" s="70"/>
      <c r="B40" s="66" t="s">
        <v>320</v>
      </c>
      <c r="C40" s="66" t="s">
        <v>317</v>
      </c>
      <c r="D40" s="67" t="s">
        <v>252</v>
      </c>
      <c r="E40" s="67" t="s">
        <v>253</v>
      </c>
      <c r="F40" s="67" t="s">
        <v>312</v>
      </c>
      <c r="G40" s="67">
        <v>12</v>
      </c>
      <c r="H40" s="67" t="s">
        <v>318</v>
      </c>
      <c r="I40" s="67">
        <v>1</v>
      </c>
      <c r="J40" s="67" t="s">
        <v>321</v>
      </c>
      <c r="K40" s="68">
        <v>133</v>
      </c>
      <c r="L40" s="69">
        <v>1596</v>
      </c>
      <c r="M40" s="69">
        <f t="shared" si="3"/>
        <v>133</v>
      </c>
    </row>
    <row r="41" spans="1:13" ht="48.9">
      <c r="A41" s="70" t="s">
        <v>322</v>
      </c>
      <c r="B41" s="62" t="s">
        <v>323</v>
      </c>
      <c r="C41" s="62" t="s">
        <v>324</v>
      </c>
      <c r="D41" s="63" t="s">
        <v>252</v>
      </c>
      <c r="E41" s="63" t="s">
        <v>253</v>
      </c>
      <c r="F41" s="63" t="s">
        <v>312</v>
      </c>
      <c r="G41" s="63">
        <v>8760</v>
      </c>
      <c r="H41" s="63" t="s">
        <v>325</v>
      </c>
      <c r="I41" s="63">
        <v>1</v>
      </c>
      <c r="J41" s="63" t="s">
        <v>326</v>
      </c>
      <c r="K41" s="64">
        <v>2890.96</v>
      </c>
      <c r="L41" s="65">
        <v>2890.96</v>
      </c>
      <c r="M41" s="65">
        <f>L41/12</f>
        <v>240.91333333333333</v>
      </c>
    </row>
    <row r="42" spans="1:13" ht="32.6">
      <c r="A42" s="70"/>
      <c r="B42" s="66" t="s">
        <v>327</v>
      </c>
      <c r="C42" s="66" t="s">
        <v>328</v>
      </c>
      <c r="D42" s="67" t="s">
        <v>252</v>
      </c>
      <c r="E42" s="67" t="s">
        <v>253</v>
      </c>
      <c r="F42" s="67" t="s">
        <v>312</v>
      </c>
      <c r="G42" s="67">
        <v>8760</v>
      </c>
      <c r="H42" s="67" t="s">
        <v>313</v>
      </c>
      <c r="I42" s="67">
        <v>1</v>
      </c>
      <c r="J42" s="67" t="s">
        <v>329</v>
      </c>
      <c r="K42" s="68">
        <v>3869.46</v>
      </c>
      <c r="L42" s="69">
        <v>3869.46</v>
      </c>
      <c r="M42" s="69">
        <f>L42/12</f>
        <v>322.45499999999998</v>
      </c>
    </row>
    <row r="43" spans="1:13" ht="17.600000000000001">
      <c r="A43" s="61" t="s">
        <v>330</v>
      </c>
      <c r="B43" s="62" t="s">
        <v>331</v>
      </c>
      <c r="C43" s="62" t="s">
        <v>332</v>
      </c>
      <c r="D43" s="63" t="s">
        <v>252</v>
      </c>
      <c r="E43" s="63" t="s">
        <v>253</v>
      </c>
      <c r="F43" s="63" t="s">
        <v>333</v>
      </c>
      <c r="G43" s="63">
        <v>12</v>
      </c>
      <c r="H43" s="63" t="s">
        <v>318</v>
      </c>
      <c r="I43" s="63">
        <v>29</v>
      </c>
      <c r="J43" s="63" t="s">
        <v>334</v>
      </c>
      <c r="K43" s="64">
        <v>13.8</v>
      </c>
      <c r="L43" s="65">
        <v>4802.3999999999996</v>
      </c>
      <c r="M43" s="65">
        <f>L43/12</f>
        <v>400.2</v>
      </c>
    </row>
    <row r="44" spans="1:13" ht="17.600000000000001">
      <c r="A44" s="61" t="s">
        <v>335</v>
      </c>
      <c r="B44" s="66" t="s">
        <v>336</v>
      </c>
      <c r="C44" s="66" t="s">
        <v>337</v>
      </c>
      <c r="D44" s="67" t="s">
        <v>252</v>
      </c>
      <c r="E44" s="67" t="s">
        <v>253</v>
      </c>
      <c r="F44" s="67" t="s">
        <v>333</v>
      </c>
      <c r="G44" s="67">
        <v>12</v>
      </c>
      <c r="H44" s="67" t="s">
        <v>318</v>
      </c>
      <c r="I44" s="67">
        <v>1</v>
      </c>
      <c r="J44" s="67" t="s">
        <v>338</v>
      </c>
      <c r="K44" s="68">
        <v>440</v>
      </c>
      <c r="L44" s="69">
        <v>5280</v>
      </c>
      <c r="M44" s="69">
        <f>L44/12</f>
        <v>440</v>
      </c>
    </row>
    <row r="45" spans="1:13" ht="16.75" thickBot="1">
      <c r="A45" s="71" t="s">
        <v>339</v>
      </c>
      <c r="B45" s="72"/>
      <c r="C45" s="72"/>
      <c r="D45" s="72"/>
      <c r="E45" s="72"/>
      <c r="F45" s="72"/>
      <c r="G45" s="72"/>
      <c r="H45" s="72"/>
      <c r="I45" s="72"/>
      <c r="J45" s="72"/>
      <c r="K45" s="73">
        <f>SUM(K9:K37)</f>
        <v>26361.710000000003</v>
      </c>
      <c r="L45" s="74">
        <f>SUM(L9:L37)</f>
        <v>26361.710000000003</v>
      </c>
      <c r="M45" s="74">
        <f>SUM(M9:M44)</f>
        <v>4632.1775000000007</v>
      </c>
    </row>
    <row r="46" spans="1:13" s="35" customFormat="1" ht="16.3" customHeight="1">
      <c r="A46" s="75" t="s">
        <v>340</v>
      </c>
      <c r="B46" s="75"/>
      <c r="C46" s="75"/>
      <c r="D46" s="75"/>
      <c r="E46" s="75"/>
      <c r="F46" s="75"/>
      <c r="G46" s="75"/>
      <c r="H46" s="75"/>
      <c r="I46" s="75"/>
      <c r="J46" s="75"/>
      <c r="K46" s="75"/>
      <c r="L46" s="75"/>
      <c r="M46" s="75"/>
    </row>
    <row r="47" spans="1:13" s="35" customFormat="1" ht="16.3"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</row>
    <row r="48" spans="1:13" s="35" customFormat="1"/>
    <row r="49" spans="1:8" s="35" customFormat="1">
      <c r="A49" s="77" t="s">
        <v>341</v>
      </c>
      <c r="B49" s="78">
        <f>M45</f>
        <v>4632.1775000000007</v>
      </c>
      <c r="C49" s="79"/>
      <c r="F49" s="50"/>
      <c r="G49" s="50"/>
    </row>
    <row r="50" spans="1:8">
      <c r="H50" s="35"/>
    </row>
  </sheetData>
  <mergeCells count="6">
    <mergeCell ref="A5:M5"/>
    <mergeCell ref="A7:M7"/>
    <mergeCell ref="A39:A40"/>
    <mergeCell ref="A41:A42"/>
    <mergeCell ref="A45:J45"/>
    <mergeCell ref="A46:M46"/>
  </mergeCells>
  <pageMargins left="0.7" right="0.7" top="0.75" bottom="0.75" header="0.3" footer="0.3"/>
  <pageSetup scale="39" orientation="portrait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BFBB-4575-454F-9C3D-590B9401A866}">
  <sheetPr>
    <pageSetUpPr fitToPage="1"/>
  </sheetPr>
  <dimension ref="A3:M20"/>
  <sheetViews>
    <sheetView zoomScale="55" zoomScaleNormal="55" workbookViewId="0">
      <selection activeCell="E31" sqref="E31"/>
    </sheetView>
  </sheetViews>
  <sheetFormatPr defaultColWidth="9.15234375" defaultRowHeight="14.6"/>
  <cols>
    <col min="1" max="1" width="43.3828125" style="50" customWidth="1"/>
    <col min="2" max="3" width="30" style="50" customWidth="1"/>
    <col min="4" max="5" width="20" style="50" customWidth="1"/>
    <col min="6" max="6" width="24.69140625" style="50" customWidth="1"/>
    <col min="7" max="7" width="24.84375" style="50" customWidth="1"/>
    <col min="8" max="8" width="10.15234375" style="50" customWidth="1"/>
    <col min="9" max="9" width="12.61328125" style="50" customWidth="1"/>
    <col min="10" max="10" width="39" style="50" customWidth="1"/>
    <col min="11" max="11" width="17.84375" style="50" bestFit="1" customWidth="1"/>
    <col min="12" max="12" width="15.69140625" style="50" customWidth="1"/>
    <col min="13" max="13" width="16.3828125" style="50" customWidth="1"/>
    <col min="14" max="16384" width="9.15234375" style="50"/>
  </cols>
  <sheetData>
    <row r="3" spans="1:13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5" spans="1:13" ht="24.45">
      <c r="A5" s="51" t="s">
        <v>237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</row>
    <row r="6" spans="1:13" ht="15" thickBot="1"/>
    <row r="7" spans="1:13" s="55" customFormat="1" ht="19.75">
      <c r="A7" s="52" t="str">
        <f ca="1">"Price Calculator "&amp;TEXT(TODAY(),"mmm dd, yyyy")</f>
        <v>Price Calculator Mar 20, 2026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4"/>
    </row>
    <row r="8" spans="1:13" s="60" customFormat="1" ht="32.6">
      <c r="A8" s="56" t="s">
        <v>238</v>
      </c>
      <c r="B8" s="57" t="s">
        <v>239</v>
      </c>
      <c r="C8" s="57" t="s">
        <v>240</v>
      </c>
      <c r="D8" s="57" t="s">
        <v>241</v>
      </c>
      <c r="E8" s="57" t="s">
        <v>242</v>
      </c>
      <c r="F8" s="57" t="s">
        <v>243</v>
      </c>
      <c r="G8" s="57" t="s">
        <v>244</v>
      </c>
      <c r="H8" s="57" t="s">
        <v>245</v>
      </c>
      <c r="I8" s="57" t="s">
        <v>246</v>
      </c>
      <c r="J8" s="57" t="s">
        <v>247</v>
      </c>
      <c r="K8" s="58" t="s">
        <v>248</v>
      </c>
      <c r="L8" s="59" t="s">
        <v>249</v>
      </c>
      <c r="M8" s="59" t="s">
        <v>250</v>
      </c>
    </row>
    <row r="9" spans="1:13" ht="81.45">
      <c r="A9" s="61" t="str">
        <f>C9</f>
        <v>UCEMOOD02</v>
      </c>
      <c r="B9" s="62" t="s">
        <v>299</v>
      </c>
      <c r="C9" s="62" t="s">
        <v>300</v>
      </c>
      <c r="D9" s="63" t="s">
        <v>252</v>
      </c>
      <c r="E9" s="63" t="s">
        <v>253</v>
      </c>
      <c r="F9" s="63" t="s">
        <v>312</v>
      </c>
      <c r="G9" s="63">
        <v>730</v>
      </c>
      <c r="H9" s="63" t="s">
        <v>313</v>
      </c>
      <c r="I9" s="63">
        <v>1</v>
      </c>
      <c r="J9" s="63" t="s">
        <v>342</v>
      </c>
      <c r="K9" s="64">
        <v>460.27</v>
      </c>
      <c r="L9" s="65">
        <f>K9*12</f>
        <v>5523.24</v>
      </c>
      <c r="M9" s="65">
        <f t="shared" ref="M9" si="0">L9/12</f>
        <v>460.27</v>
      </c>
    </row>
    <row r="10" spans="1:13" ht="32.6">
      <c r="A10" s="61" t="s">
        <v>309</v>
      </c>
      <c r="B10" s="80" t="s">
        <v>310</v>
      </c>
      <c r="C10" s="80" t="s">
        <v>311</v>
      </c>
      <c r="D10" s="80" t="s">
        <v>252</v>
      </c>
      <c r="E10" s="80" t="s">
        <v>253</v>
      </c>
      <c r="F10" s="80" t="s">
        <v>312</v>
      </c>
      <c r="G10" s="80">
        <v>8760</v>
      </c>
      <c r="H10" s="80" t="s">
        <v>313</v>
      </c>
      <c r="I10" s="80">
        <v>1</v>
      </c>
      <c r="J10" s="80" t="s">
        <v>343</v>
      </c>
      <c r="K10" s="81">
        <v>5256</v>
      </c>
      <c r="L10" s="65">
        <f>K10</f>
        <v>5256</v>
      </c>
      <c r="M10" s="65">
        <f>L10/12</f>
        <v>438</v>
      </c>
    </row>
    <row r="11" spans="1:13" ht="48.9">
      <c r="A11" s="70" t="s">
        <v>322</v>
      </c>
      <c r="B11" s="62" t="s">
        <v>323</v>
      </c>
      <c r="C11" s="62" t="s">
        <v>324</v>
      </c>
      <c r="D11" s="63" t="s">
        <v>252</v>
      </c>
      <c r="E11" s="63" t="s">
        <v>253</v>
      </c>
      <c r="F11" s="63" t="s">
        <v>312</v>
      </c>
      <c r="G11" s="63">
        <v>8760</v>
      </c>
      <c r="H11" s="63" t="s">
        <v>325</v>
      </c>
      <c r="I11" s="63">
        <v>1</v>
      </c>
      <c r="J11" s="63" t="s">
        <v>326</v>
      </c>
      <c r="K11" s="64">
        <v>2890.96</v>
      </c>
      <c r="L11" s="65">
        <v>2890.96</v>
      </c>
      <c r="M11" s="65">
        <f>L11/12</f>
        <v>240.91333333333333</v>
      </c>
    </row>
    <row r="12" spans="1:13" ht="32.6">
      <c r="A12" s="70"/>
      <c r="B12" s="80" t="s">
        <v>327</v>
      </c>
      <c r="C12" s="80" t="s">
        <v>328</v>
      </c>
      <c r="D12" s="80" t="s">
        <v>252</v>
      </c>
      <c r="E12" s="80" t="s">
        <v>253</v>
      </c>
      <c r="F12" s="80" t="s">
        <v>312</v>
      </c>
      <c r="G12" s="80">
        <v>8760</v>
      </c>
      <c r="H12" s="80" t="s">
        <v>313</v>
      </c>
      <c r="I12" s="80">
        <v>1</v>
      </c>
      <c r="J12" s="80" t="s">
        <v>344</v>
      </c>
      <c r="K12" s="81">
        <v>1977.11</v>
      </c>
      <c r="L12" s="65">
        <v>1977.11</v>
      </c>
      <c r="M12" s="65">
        <f>L12/12</f>
        <v>164.75916666666666</v>
      </c>
    </row>
    <row r="13" spans="1:13" ht="17.600000000000001">
      <c r="A13" s="61" t="s">
        <v>330</v>
      </c>
      <c r="B13" s="62" t="s">
        <v>331</v>
      </c>
      <c r="C13" s="62" t="s">
        <v>332</v>
      </c>
      <c r="D13" s="63" t="s">
        <v>252</v>
      </c>
      <c r="E13" s="63" t="s">
        <v>253</v>
      </c>
      <c r="F13" s="63" t="s">
        <v>333</v>
      </c>
      <c r="G13" s="63">
        <v>1</v>
      </c>
      <c r="H13" s="63" t="s">
        <v>318</v>
      </c>
      <c r="I13" s="63">
        <v>1</v>
      </c>
      <c r="J13" s="63" t="s">
        <v>334</v>
      </c>
      <c r="K13" s="64">
        <v>13.8</v>
      </c>
      <c r="L13" s="65">
        <f>K13*12</f>
        <v>165.60000000000002</v>
      </c>
      <c r="M13" s="65">
        <f>L13/12</f>
        <v>13.800000000000002</v>
      </c>
    </row>
    <row r="14" spans="1:13" ht="17.600000000000001">
      <c r="A14" s="61" t="s">
        <v>335</v>
      </c>
      <c r="B14" s="80" t="s">
        <v>336</v>
      </c>
      <c r="C14" s="80" t="s">
        <v>337</v>
      </c>
      <c r="D14" s="80" t="s">
        <v>252</v>
      </c>
      <c r="E14" s="80" t="s">
        <v>253</v>
      </c>
      <c r="F14" s="80" t="s">
        <v>333</v>
      </c>
      <c r="G14" s="80">
        <v>12</v>
      </c>
      <c r="H14" s="80" t="s">
        <v>318</v>
      </c>
      <c r="I14" s="80">
        <v>1</v>
      </c>
      <c r="J14" s="80" t="s">
        <v>345</v>
      </c>
      <c r="K14" s="81">
        <v>130</v>
      </c>
      <c r="L14" s="65">
        <f>K14*12</f>
        <v>1560</v>
      </c>
      <c r="M14" s="65">
        <f>L14/12</f>
        <v>130</v>
      </c>
    </row>
    <row r="15" spans="1:13" ht="16.75" thickBot="1">
      <c r="A15" s="71" t="s">
        <v>339</v>
      </c>
      <c r="B15" s="72"/>
      <c r="C15" s="72"/>
      <c r="D15" s="72"/>
      <c r="E15" s="72"/>
      <c r="F15" s="72"/>
      <c r="G15" s="72"/>
      <c r="H15" s="72"/>
      <c r="I15" s="72"/>
      <c r="J15" s="72"/>
      <c r="K15" s="73">
        <f>SUM(K9:K9)</f>
        <v>460.27</v>
      </c>
      <c r="L15" s="74">
        <f>SUM(L9:L9)</f>
        <v>5523.24</v>
      </c>
      <c r="M15" s="74">
        <f>SUM(M9:M14)</f>
        <v>1447.7425000000001</v>
      </c>
    </row>
    <row r="16" spans="1:13" s="35" customFormat="1" ht="16.3" customHeight="1">
      <c r="A16" s="75" t="s">
        <v>340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</row>
    <row r="17" spans="1:13" s="35" customFormat="1" ht="16.3"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</row>
    <row r="18" spans="1:13" s="35" customFormat="1"/>
    <row r="19" spans="1:13" s="35" customFormat="1">
      <c r="A19" s="77" t="s">
        <v>341</v>
      </c>
      <c r="B19" s="78">
        <f>M15</f>
        <v>1447.7425000000001</v>
      </c>
      <c r="C19" s="79"/>
      <c r="F19" s="50"/>
      <c r="G19" s="50"/>
    </row>
    <row r="20" spans="1:13">
      <c r="H20" s="35"/>
    </row>
  </sheetData>
  <mergeCells count="5">
    <mergeCell ref="A5:M5"/>
    <mergeCell ref="A7:M7"/>
    <mergeCell ref="A11:A12"/>
    <mergeCell ref="A15:J15"/>
    <mergeCell ref="A16:M16"/>
  </mergeCells>
  <pageMargins left="0.7" right="0.7" top="0.75" bottom="0.75" header="0.3" footer="0.3"/>
  <pageSetup scale="3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UCE Migration</vt:lpstr>
      <vt:lpstr>VM Inventory</vt:lpstr>
      <vt:lpstr>Azure Architecture</vt:lpstr>
      <vt:lpstr>Whole Infra Quotation</vt:lpstr>
      <vt:lpstr>Pilot Infra 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Consuelo Mena Terrero</dc:creator>
  <cp:lastModifiedBy>Erick Jesus Tejada Rodriguez</cp:lastModifiedBy>
  <dcterms:created xsi:type="dcterms:W3CDTF">2024-12-03T15:13:37Z</dcterms:created>
  <dcterms:modified xsi:type="dcterms:W3CDTF">2026-03-20T22:12:12Z</dcterms:modified>
</cp:coreProperties>
</file>