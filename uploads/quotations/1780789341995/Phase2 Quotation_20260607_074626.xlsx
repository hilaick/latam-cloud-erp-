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84423900\Documents\Migrations\UCE - UNIVERSIDAD CENTRAL DEL ESTE\"/>
    </mc:Choice>
  </mc:AlternateContent>
  <xr:revisionPtr revIDLastSave="0" documentId="8_{ECA81B0F-12D3-400A-AD4C-B7778FEDEAE2}" xr6:coauthVersionLast="47" xr6:coauthVersionMax="47" xr10:uidLastSave="{00000000-0000-0000-0000-000000000000}"/>
  <bookViews>
    <workbookView xWindow="-108" yWindow="-108" windowWidth="23256" windowHeight="14856" xr2:uid="{0416F43E-50D5-4E00-910C-39193DC37729}"/>
  </bookViews>
  <sheets>
    <sheet name="Phase 2 - PPU" sheetId="1" r:id="rId1"/>
  </sheets>
  <externalReferences>
    <externalReference r:id="rId2"/>
  </externalReferences>
  <definedNames>
    <definedName name="QF_SYS_SIGNER">[1]Discount!$E$13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" i="1" l="1"/>
  <c r="L13" i="1"/>
  <c r="K13" i="1"/>
  <c r="J13" i="1"/>
  <c r="N10" i="1"/>
  <c r="N9" i="1"/>
  <c r="N8" i="1"/>
  <c r="N7" i="1"/>
  <c r="N6" i="1"/>
  <c r="N5" i="1"/>
  <c r="N4" i="1"/>
  <c r="N3" i="1"/>
  <c r="N13" i="1" s="1"/>
</calcChain>
</file>

<file path=xl/sharedStrings.xml><?xml version="1.0" encoding="utf-8"?>
<sst xmlns="http://schemas.openxmlformats.org/spreadsheetml/2006/main" count="86" uniqueCount="51">
  <si>
    <t>uce - phase 2 PPU</t>
  </si>
  <si>
    <t>Service</t>
  </si>
  <si>
    <t>Description</t>
  </si>
  <si>
    <t>Region</t>
  </si>
  <si>
    <t>AZ</t>
  </si>
  <si>
    <t>Billing Mode</t>
  </si>
  <si>
    <t>Purchase Amount</t>
  </si>
  <si>
    <t>Unit</t>
  </si>
  <si>
    <t>Quantity</t>
  </si>
  <si>
    <t>Specifications</t>
  </si>
  <si>
    <t>Unit Price (USD)</t>
  </si>
  <si>
    <t>Discounted Unit Price (USD)</t>
  </si>
  <si>
    <t>Original Price (USD)</t>
  </si>
  <si>
    <t>Discount Amount (USD)</t>
  </si>
  <si>
    <t>Discounted Price (USD)</t>
  </si>
  <si>
    <t>Elastic Cloud Server 1</t>
  </si>
  <si>
    <t>ALUCEMOOD02</t>
  </si>
  <si>
    <t>LA-Mexico City2</t>
  </si>
  <si>
    <t xml:space="preserve">General AZ </t>
  </si>
  <si>
    <t>Pay-per-use</t>
  </si>
  <si>
    <t>hours</t>
  </si>
  <si>
    <t xml:space="preserve">x86 | General computing | s7n.large.4 | 2 vCPUs | 8GiB; Ubuntu | Ubuntu 22.04 server 64bit; General Purpose SSD | 512GB; </t>
  </si>
  <si>
    <t>Elastic Cloud Server 4</t>
  </si>
  <si>
    <t>EgresadosMau02</t>
  </si>
  <si>
    <t xml:space="preserve">x86 | General computing | s7n.large.4 | 2 vCPUs | 8GiB; Debian | Debian 11.1.0 64bit; General Purpose SSD | 100GB; </t>
  </si>
  <si>
    <t>Elastic Cloud Server 5</t>
  </si>
  <si>
    <t>EGRESADOSWP-RESTAURADA-2</t>
  </si>
  <si>
    <t xml:space="preserve">x86 | General computing | x0.2u.8g | 2 vCPUs | 8GiB; Debian | Debian 11.1.0 64bit; General Purpose SSD | 100GB; </t>
  </si>
  <si>
    <t>Elastic Cloud Server 6</t>
  </si>
  <si>
    <t>REDMINEPNUD03</t>
  </si>
  <si>
    <t>Elastic Cloud Server 7</t>
  </si>
  <si>
    <t>SRVCIDIIA</t>
  </si>
  <si>
    <t xml:space="preserve">x86 | General computing | s7n.2xlarge.2 | 8 vCPUs | 16GiB; Debian | Debian 11.1.0 64bit; General Purpose SSD | 256GB; </t>
  </si>
  <si>
    <t>Elastic Cloud Server 17</t>
  </si>
  <si>
    <t>UCEAZIDIOMAS</t>
  </si>
  <si>
    <t xml:space="preserve">x86 | General computing | x0.2u.8g | 2 vCPUs | 8GiB; Ubuntu | Ubuntu 22.04 server 64bit; General Purpose SSD | 256GB; </t>
  </si>
  <si>
    <t>Elastic Cloud Server 21</t>
  </si>
  <si>
    <t>UCEAZREVISTAUC</t>
  </si>
  <si>
    <t xml:space="preserve">x86 | General computing | x0.2u.8g | 2 vCPUs | 8GiB; Ubuntu | Ubuntu 22.04 server 64bit; General Purpose SSD | 100GB; </t>
  </si>
  <si>
    <t>Cloud Backup and Recovery 1</t>
  </si>
  <si>
    <t>Cloud Backup and Recovery</t>
  </si>
  <si>
    <t xml:space="preserve">Server backup vault | 4000GB; </t>
  </si>
  <si>
    <t>Host Security Service 1</t>
  </si>
  <si>
    <t>Host Security Service</t>
  </si>
  <si>
    <t>Monthly</t>
  </si>
  <si>
    <t>month</t>
  </si>
  <si>
    <t xml:space="preserve">Premium; </t>
  </si>
  <si>
    <t>Support Plans 1</t>
  </si>
  <si>
    <t>Support Plans</t>
  </si>
  <si>
    <t xml:space="preserve">Business | 1100USD/month; 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</si>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</sst>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#"/>
  </numFmts>
  <fonts count="5">
    <font>
      <sz val="11"/>
      <color theme="1"/>
      <name val="Calibri"/>
      <family val="2"/>
      <scheme val="minor"/>
    </font>
    <font>
      <sz val="14"/>
      <color rgb="FFFFFFF0"/>
      <name val="微软雅黑"/>
    </font>
    <font>
      <sz val="12"/>
      <name val="微软雅黑"/>
    </font>
    <font>
      <sz val="12"/>
      <color rgb="FF00CD00"/>
      <name val="微软雅黑"/>
    </font>
    <font>
      <sz val="12"/>
      <color rgb="FFCD2626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rgb="FFF5F5F5"/>
      </patternFill>
    </fill>
  </fills>
  <borders count="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0" xfId="0" applyFont="1"/>
    <xf numFmtId="0" fontId="2" fillId="0" borderId="2" xfId="0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2" fillId="4" borderId="3" xfId="0" applyFont="1" applyFill="1" applyBorder="1" applyAlignment="1">
      <alignment horizontal="left" vertical="center" wrapText="1"/>
    </xf>
    <xf numFmtId="164" fontId="2" fillId="4" borderId="3" xfId="0" applyNumberFormat="1" applyFont="1" applyFill="1" applyBorder="1" applyAlignment="1">
      <alignment horizontal="righ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4" fontId="4" fillId="4" borderId="4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4434264/Desktop/Cloud/Projects/DR/Public%20Cloud/Gestnett/Gesnett-UCE/Delivery/Project%20Plan/HUAWEI%20CLOUD%20Quotation%20for%20UCE%20Migration%20Project_%20C&amp;C%20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"/>
      <sheetName val="Cover"/>
      <sheetName val="Disclaimer"/>
      <sheetName val="Solution Introduction"/>
      <sheetName val="Price Calculator Summary"/>
      <sheetName val="Compute"/>
      <sheetName val="Storage"/>
      <sheetName val="Connectivity"/>
      <sheetName val="Security"/>
      <sheetName val="Support"/>
      <sheetName val="Whole Infra Quotation"/>
      <sheetName val="tmp_v"/>
    </sheetNames>
    <sheetDataSet>
      <sheetData sheetId="0">
        <row r="13">
          <cell r="E1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0544-88B3-4B04-9B23-E24EA98910D2}">
  <dimension ref="A1:N13"/>
  <sheetViews>
    <sheetView tabSelected="1" zoomScale="55" zoomScaleNormal="55" workbookViewId="0">
      <selection activeCell="B8" sqref="B8"/>
    </sheetView>
  </sheetViews>
  <sheetFormatPr defaultRowHeight="14.4"/>
  <cols>
    <col min="1" max="2" width="30" customWidth="1"/>
    <col min="3" max="3" width="20" customWidth="1"/>
    <col min="4" max="6" width="22" customWidth="1"/>
    <col min="7" max="8" width="20" customWidth="1"/>
    <col min="9" max="9" width="50" customWidth="1"/>
    <col min="10" max="10" width="20" customWidth="1"/>
    <col min="11" max="13" width="22" hidden="1" customWidth="1"/>
    <col min="14" max="14" width="22" customWidth="1"/>
  </cols>
  <sheetData>
    <row r="1" spans="1:14" s="2" customFormat="1" ht="50.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6" customFormat="1" ht="50.1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</row>
    <row r="3" spans="1:14" ht="100.05" customHeight="1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>
        <v>8760</v>
      </c>
      <c r="G3" s="7" t="s">
        <v>20</v>
      </c>
      <c r="H3" s="7">
        <v>1</v>
      </c>
      <c r="I3" s="7" t="s">
        <v>21</v>
      </c>
      <c r="J3" s="8">
        <v>1182.25</v>
      </c>
      <c r="K3" s="8">
        <v>1182.25</v>
      </c>
      <c r="L3" s="8">
        <v>1182.25</v>
      </c>
      <c r="M3" s="9">
        <v>0</v>
      </c>
      <c r="N3" s="10">
        <f>J3/12</f>
        <v>98.520833333333329</v>
      </c>
    </row>
    <row r="4" spans="1:14" ht="100.05" customHeight="1">
      <c r="A4" s="7" t="s">
        <v>22</v>
      </c>
      <c r="B4" s="7" t="s">
        <v>23</v>
      </c>
      <c r="C4" s="7" t="s">
        <v>17</v>
      </c>
      <c r="D4" s="7" t="s">
        <v>18</v>
      </c>
      <c r="E4" s="7" t="s">
        <v>19</v>
      </c>
      <c r="F4" s="7">
        <v>8760</v>
      </c>
      <c r="G4" s="7" t="s">
        <v>20</v>
      </c>
      <c r="H4" s="7">
        <v>1</v>
      </c>
      <c r="I4" s="7" t="s">
        <v>24</v>
      </c>
      <c r="J4" s="8">
        <v>713.06</v>
      </c>
      <c r="K4" s="8">
        <v>713.06</v>
      </c>
      <c r="L4" s="8">
        <v>713.06</v>
      </c>
      <c r="M4" s="9">
        <v>0</v>
      </c>
      <c r="N4" s="10">
        <f t="shared" ref="N4:N10" si="0">J4/12</f>
        <v>59.42166666666666</v>
      </c>
    </row>
    <row r="5" spans="1:14" ht="100.05" customHeight="1">
      <c r="A5" s="7" t="s">
        <v>25</v>
      </c>
      <c r="B5" s="7" t="s">
        <v>26</v>
      </c>
      <c r="C5" s="7" t="s">
        <v>17</v>
      </c>
      <c r="D5" s="7" t="s">
        <v>18</v>
      </c>
      <c r="E5" s="7" t="s">
        <v>19</v>
      </c>
      <c r="F5" s="7">
        <v>8760</v>
      </c>
      <c r="G5" s="7" t="s">
        <v>20</v>
      </c>
      <c r="H5" s="7">
        <v>1</v>
      </c>
      <c r="I5" s="7" t="s">
        <v>27</v>
      </c>
      <c r="J5" s="8">
        <v>569.4</v>
      </c>
      <c r="K5" s="8">
        <v>569.4</v>
      </c>
      <c r="L5" s="8">
        <v>569.4</v>
      </c>
      <c r="M5" s="9">
        <v>0</v>
      </c>
      <c r="N5" s="10">
        <f t="shared" si="0"/>
        <v>47.449999999999996</v>
      </c>
    </row>
    <row r="6" spans="1:14" ht="100.05" customHeight="1">
      <c r="A6" s="7" t="s">
        <v>28</v>
      </c>
      <c r="B6" s="7" t="s">
        <v>29</v>
      </c>
      <c r="C6" s="7" t="s">
        <v>17</v>
      </c>
      <c r="D6" s="7" t="s">
        <v>18</v>
      </c>
      <c r="E6" s="7" t="s">
        <v>19</v>
      </c>
      <c r="F6" s="7">
        <v>8760</v>
      </c>
      <c r="G6" s="7" t="s">
        <v>20</v>
      </c>
      <c r="H6" s="7">
        <v>1</v>
      </c>
      <c r="I6" s="7" t="s">
        <v>27</v>
      </c>
      <c r="J6" s="8">
        <v>569.4</v>
      </c>
      <c r="K6" s="8">
        <v>569.4</v>
      </c>
      <c r="L6" s="8">
        <v>569.4</v>
      </c>
      <c r="M6" s="9">
        <v>0</v>
      </c>
      <c r="N6" s="10">
        <f t="shared" si="0"/>
        <v>47.449999999999996</v>
      </c>
    </row>
    <row r="7" spans="1:14" ht="100.05" customHeight="1">
      <c r="A7" s="7" t="s">
        <v>30</v>
      </c>
      <c r="B7" s="7" t="s">
        <v>31</v>
      </c>
      <c r="C7" s="7" t="s">
        <v>17</v>
      </c>
      <c r="D7" s="7" t="s">
        <v>18</v>
      </c>
      <c r="E7" s="7" t="s">
        <v>19</v>
      </c>
      <c r="F7" s="7">
        <v>8760</v>
      </c>
      <c r="G7" s="7" t="s">
        <v>20</v>
      </c>
      <c r="H7" s="7">
        <v>1</v>
      </c>
      <c r="I7" s="7" t="s">
        <v>32</v>
      </c>
      <c r="J7" s="8">
        <v>2302.83</v>
      </c>
      <c r="K7" s="8">
        <v>2302.83</v>
      </c>
      <c r="L7" s="8">
        <v>2302.83</v>
      </c>
      <c r="M7" s="9">
        <v>0</v>
      </c>
      <c r="N7" s="10">
        <f t="shared" si="0"/>
        <v>191.9025</v>
      </c>
    </row>
    <row r="8" spans="1:14" ht="100.05" customHeight="1">
      <c r="A8" s="7" t="s">
        <v>33</v>
      </c>
      <c r="B8" s="7" t="s">
        <v>34</v>
      </c>
      <c r="C8" s="7" t="s">
        <v>17</v>
      </c>
      <c r="D8" s="7" t="s">
        <v>18</v>
      </c>
      <c r="E8" s="7" t="s">
        <v>19</v>
      </c>
      <c r="F8" s="7">
        <v>8760</v>
      </c>
      <c r="G8" s="7" t="s">
        <v>20</v>
      </c>
      <c r="H8" s="7">
        <v>1</v>
      </c>
      <c r="I8" s="7" t="s">
        <v>35</v>
      </c>
      <c r="J8" s="8">
        <v>747.05</v>
      </c>
      <c r="K8" s="8">
        <v>747.05</v>
      </c>
      <c r="L8" s="8">
        <v>747.05</v>
      </c>
      <c r="M8" s="9">
        <v>0</v>
      </c>
      <c r="N8" s="10">
        <f t="shared" si="0"/>
        <v>62.254166666666663</v>
      </c>
    </row>
    <row r="9" spans="1:14" ht="100.05" customHeight="1">
      <c r="A9" s="7" t="s">
        <v>36</v>
      </c>
      <c r="B9" s="7" t="s">
        <v>37</v>
      </c>
      <c r="C9" s="7" t="s">
        <v>17</v>
      </c>
      <c r="D9" s="7" t="s">
        <v>18</v>
      </c>
      <c r="E9" s="7" t="s">
        <v>19</v>
      </c>
      <c r="F9" s="7">
        <v>8760</v>
      </c>
      <c r="G9" s="7" t="s">
        <v>20</v>
      </c>
      <c r="H9" s="7">
        <v>1</v>
      </c>
      <c r="I9" s="7" t="s">
        <v>38</v>
      </c>
      <c r="J9" s="8">
        <v>569.4</v>
      </c>
      <c r="K9" s="8">
        <v>569.4</v>
      </c>
      <c r="L9" s="8">
        <v>569.4</v>
      </c>
      <c r="M9" s="9">
        <v>0</v>
      </c>
      <c r="N9" s="10">
        <f t="shared" si="0"/>
        <v>47.449999999999996</v>
      </c>
    </row>
    <row r="10" spans="1:14" ht="100.05" customHeight="1">
      <c r="A10" s="7" t="s">
        <v>39</v>
      </c>
      <c r="B10" s="7" t="s">
        <v>40</v>
      </c>
      <c r="C10" s="7" t="s">
        <v>17</v>
      </c>
      <c r="D10" s="7" t="s">
        <v>18</v>
      </c>
      <c r="E10" s="7" t="s">
        <v>19</v>
      </c>
      <c r="F10" s="7">
        <v>8760</v>
      </c>
      <c r="G10" s="7" t="s">
        <v>20</v>
      </c>
      <c r="H10" s="7">
        <v>1</v>
      </c>
      <c r="I10" s="7" t="s">
        <v>41</v>
      </c>
      <c r="J10" s="8">
        <v>1752</v>
      </c>
      <c r="K10" s="8">
        <v>1752</v>
      </c>
      <c r="L10" s="8">
        <v>1752</v>
      </c>
      <c r="M10" s="9">
        <v>0</v>
      </c>
      <c r="N10" s="10">
        <f t="shared" si="0"/>
        <v>146</v>
      </c>
    </row>
    <row r="11" spans="1:14" ht="100.05" customHeight="1">
      <c r="A11" s="7" t="s">
        <v>42</v>
      </c>
      <c r="B11" s="7" t="s">
        <v>43</v>
      </c>
      <c r="C11" s="7" t="s">
        <v>17</v>
      </c>
      <c r="D11" s="7" t="s">
        <v>18</v>
      </c>
      <c r="E11" s="7" t="s">
        <v>44</v>
      </c>
      <c r="F11" s="7">
        <v>1</v>
      </c>
      <c r="G11" s="7" t="s">
        <v>45</v>
      </c>
      <c r="H11" s="7">
        <v>7</v>
      </c>
      <c r="I11" s="7" t="s">
        <v>46</v>
      </c>
      <c r="J11" s="8">
        <v>13.8</v>
      </c>
      <c r="K11" s="8">
        <v>13.8</v>
      </c>
      <c r="L11" s="8">
        <v>96.6</v>
      </c>
      <c r="M11" s="9">
        <v>0</v>
      </c>
      <c r="N11" s="10">
        <v>96.6</v>
      </c>
    </row>
    <row r="12" spans="1:14" ht="100.05" customHeight="1">
      <c r="A12" s="7" t="s">
        <v>47</v>
      </c>
      <c r="B12" s="7" t="s">
        <v>48</v>
      </c>
      <c r="C12" s="7" t="s">
        <v>17</v>
      </c>
      <c r="D12" s="7" t="s">
        <v>18</v>
      </c>
      <c r="E12" s="7" t="s">
        <v>44</v>
      </c>
      <c r="F12" s="7">
        <v>1</v>
      </c>
      <c r="G12" s="7" t="s">
        <v>45</v>
      </c>
      <c r="H12" s="7">
        <v>1</v>
      </c>
      <c r="I12" s="7" t="s">
        <v>49</v>
      </c>
      <c r="J12" s="8">
        <v>110</v>
      </c>
      <c r="K12" s="8">
        <v>110</v>
      </c>
      <c r="L12" s="8">
        <v>110</v>
      </c>
      <c r="M12" s="9">
        <v>0</v>
      </c>
      <c r="N12" s="10">
        <v>110</v>
      </c>
    </row>
    <row r="13" spans="1:14" ht="40.049999999999997" customHeight="1" thickBot="1">
      <c r="A13" s="11" t="s">
        <v>50</v>
      </c>
      <c r="B13" s="11"/>
      <c r="C13" s="11"/>
      <c r="D13" s="11"/>
      <c r="E13" s="11"/>
      <c r="F13" s="11"/>
      <c r="G13" s="11"/>
      <c r="H13" s="11"/>
      <c r="I13" s="11"/>
      <c r="J13" s="12">
        <f>SUM(J3:J12)</f>
        <v>8529.1899999999987</v>
      </c>
      <c r="K13" s="12">
        <f>SUM(K3:K12)</f>
        <v>8529.1899999999987</v>
      </c>
      <c r="L13" s="12">
        <f>SUM(L3:L12)</f>
        <v>8611.99</v>
      </c>
      <c r="M13" s="13">
        <f>SUM(M3:M12)</f>
        <v>0</v>
      </c>
      <c r="N13" s="14">
        <f>SUM(N3:N12)</f>
        <v>907.04916666666668</v>
      </c>
    </row>
  </sheetData>
  <mergeCells count="2">
    <mergeCell ref="A1:N1"/>
    <mergeCell ref="A13:I1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2 - PPU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Hilaick Yard</dc:creator>
  <cp:lastModifiedBy>Hilaick Yard</cp:lastModifiedBy>
  <dcterms:created xsi:type="dcterms:W3CDTF">2026-06-06T23:45:20Z</dcterms:created>
  <dcterms:modified xsi:type="dcterms:W3CDTF">2026-06-06T23:45:42Z</dcterms:modified>
</cp:coreProperties>
</file>